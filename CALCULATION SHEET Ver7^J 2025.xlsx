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d20688b81015ac/Desktop/"/>
    </mc:Choice>
  </mc:AlternateContent>
  <xr:revisionPtr revIDLastSave="3" documentId="8_{63B09D4F-845C-4C07-A55B-4EF13C82DCE5}" xr6:coauthVersionLast="47" xr6:coauthVersionMax="47" xr10:uidLastSave="{725E72F5-A355-402E-B6C8-0A3123829D61}"/>
  <bookViews>
    <workbookView xWindow="-120" yWindow="-120" windowWidth="29040" windowHeight="15720" activeTab="2" xr2:uid="{00000000-000D-0000-FFFF-FFFF00000000}"/>
  </bookViews>
  <sheets>
    <sheet name="VerandaPriceMatrix" sheetId="5" r:id="rId1"/>
    <sheet name="CALCULATION SHEET" sheetId="2" r:id="rId2"/>
    <sheet name="PRESENTATION SHEET" sheetId="6" r:id="rId3"/>
  </sheets>
  <definedNames>
    <definedName name="_Hlk187589439" localSheetId="1">'CALCULATION SHEET'!#REF!</definedName>
    <definedName name="_xlnm.Print_Area" localSheetId="2">'PRESENTATION SHEET'!$A$1:$H$28</definedName>
    <definedName name="_xlnm.Print_Area" localSheetId="0">VerandaPriceMatrix!$A$1:$F$21</definedName>
    <definedName name="VerandaPriceMatrix" localSheetId="2">Table4[#All]</definedName>
    <definedName name="VerandaPriceMatrix">Table4[#All]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" i="5"/>
  <c r="H36" i="2"/>
  <c r="H27" i="2"/>
  <c r="H18" i="2"/>
  <c r="H17" i="2"/>
  <c r="I17" i="2" s="1"/>
  <c r="H16" i="2"/>
  <c r="I16" i="2" s="1"/>
  <c r="H13" i="2"/>
  <c r="H10" i="2"/>
  <c r="H7" i="2"/>
  <c r="G7" i="2"/>
  <c r="I2" i="5"/>
  <c r="I4" i="2" s="1"/>
  <c r="D50" i="2"/>
  <c r="I50" i="2" s="1"/>
  <c r="I48" i="2"/>
  <c r="D47" i="2"/>
  <c r="I47" i="2" s="1"/>
  <c r="G36" i="2"/>
  <c r="G27" i="2"/>
  <c r="G18" i="2"/>
  <c r="G17" i="2"/>
  <c r="G16" i="2"/>
  <c r="D16" i="2"/>
  <c r="D17" i="2"/>
  <c r="G13" i="2"/>
  <c r="G10" i="2"/>
  <c r="I49" i="2"/>
  <c r="B50" i="2"/>
  <c r="B49" i="2"/>
  <c r="B48" i="2"/>
  <c r="B47" i="2"/>
  <c r="E51" i="2"/>
  <c r="I10" i="2" l="1"/>
  <c r="I13" i="2"/>
  <c r="I7" i="2"/>
  <c r="I36" i="2"/>
  <c r="I27" i="2"/>
  <c r="I18" i="2"/>
  <c r="I51" i="2" l="1"/>
  <c r="M19" i="6" s="1"/>
</calcChain>
</file>

<file path=xl/sharedStrings.xml><?xml version="1.0" encoding="utf-8"?>
<sst xmlns="http://schemas.openxmlformats.org/spreadsheetml/2006/main" count="156" uniqueCount="70">
  <si>
    <t>NOTES:</t>
  </si>
  <si>
    <t xml:space="preserve">ROUND HANDLES or DOOR LOCKS   </t>
  </si>
  <si>
    <t>LEFT RETURN</t>
  </si>
  <si>
    <t>RIGHT RETURN</t>
  </si>
  <si>
    <t>PRICE</t>
  </si>
  <si>
    <t>COLOUR</t>
  </si>
  <si>
    <t>QTY</t>
  </si>
  <si>
    <t>VERANDA / PERGOLA  COST SHEET</t>
  </si>
  <si>
    <t>POLYCARBONATE KEYFRAME</t>
  </si>
  <si>
    <t>GLASS KEYFRAME</t>
  </si>
  <si>
    <t>POLYCARBONATE SIDEWALL</t>
  </si>
  <si>
    <t>OTHER - PLEASE SPECIFY</t>
  </si>
  <si>
    <t>OPEN  (NO SIDES)</t>
  </si>
  <si>
    <t>ALUMINIUM  SIDEWALL</t>
  </si>
  <si>
    <t xml:space="preserve">GLASS SLIDING DOORS </t>
  </si>
  <si>
    <t>DETAILS</t>
  </si>
  <si>
    <t>STYLE</t>
  </si>
  <si>
    <t>TOTAL</t>
  </si>
  <si>
    <t>FRONT</t>
  </si>
  <si>
    <t>CONCRETE</t>
  </si>
  <si>
    <t>BASEPLATE</t>
  </si>
  <si>
    <t>POSTS</t>
  </si>
  <si>
    <t>CLASSIC</t>
  </si>
  <si>
    <t>GUTTER</t>
  </si>
  <si>
    <t>ROOF</t>
  </si>
  <si>
    <t>OTHERS</t>
  </si>
  <si>
    <t>CUSTOMER DETAILS</t>
  </si>
  <si>
    <t>FRAME</t>
  </si>
  <si>
    <t>POLY.</t>
  </si>
  <si>
    <t>GLASS</t>
  </si>
  <si>
    <t>SQUARE</t>
  </si>
  <si>
    <t>ROUNDED</t>
  </si>
  <si>
    <t>ROUND</t>
  </si>
  <si>
    <t>POLYCARBONATE</t>
  </si>
  <si>
    <t>NO</t>
  </si>
  <si>
    <t>WIDTH x PROJECTION (m)</t>
  </si>
  <si>
    <t>NANTES</t>
  </si>
  <si>
    <t>BORDEAUX</t>
  </si>
  <si>
    <t>GIRONDE</t>
  </si>
  <si>
    <t>PROVENCE</t>
  </si>
  <si>
    <t>4 x 2.5</t>
  </si>
  <si>
    <t>X</t>
  </si>
  <si>
    <t>4 x 3</t>
  </si>
  <si>
    <t>4 x 3.5</t>
  </si>
  <si>
    <t>4 x 4</t>
  </si>
  <si>
    <t>4 x 6</t>
  </si>
  <si>
    <t>5 x 2.5</t>
  </si>
  <si>
    <t>5 x 3</t>
  </si>
  <si>
    <t>5 x 3.5</t>
  </si>
  <si>
    <t>5 x 4</t>
  </si>
  <si>
    <t>5 x 6</t>
  </si>
  <si>
    <t>6 x 2.5</t>
  </si>
  <si>
    <t>6 x 3</t>
  </si>
  <si>
    <t>6 x 3.5</t>
  </si>
  <si>
    <t>6 x 4</t>
  </si>
  <si>
    <t>6 x 6</t>
  </si>
  <si>
    <t>7 x 2.5</t>
  </si>
  <si>
    <t>7 x 3</t>
  </si>
  <si>
    <t>7 x 3.5</t>
  </si>
  <si>
    <t>7 x 4</t>
  </si>
  <si>
    <t>7 x 6</t>
  </si>
  <si>
    <t>PRODUCTS</t>
  </si>
  <si>
    <t>Column1</t>
  </si>
  <si>
    <t>YES</t>
  </si>
  <si>
    <t>x</t>
  </si>
  <si>
    <t>keyframes above side doors</t>
  </si>
  <si>
    <t>PROVENCE PLUS</t>
  </si>
  <si>
    <t>RANGE</t>
  </si>
  <si>
    <t>metres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</si>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</sst>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£&quot;#,##0.00;[Red]\-&quot;£&quot;#,##0.00"/>
    <numFmt numFmtId="164" formatCode="_(&quot;$&quot;* #,##0.00_);_(&quot;$&quot;* \(#,##0.00\);_(&quot;$&quot;* &quot;-&quot;??_);_(@_)"/>
    <numFmt numFmtId="165" formatCode="&quot;£&quot;#,##0.00"/>
    <numFmt numFmtId="166" formatCode="_-[$£-809]* #,##0.00_-;\-[$£-809]* #,##0.00_-;_-[$£-809]* &quot;-&quot;??_-;_-@_-"/>
    <numFmt numFmtId="167" formatCode="&quot;£&quot;#,##0"/>
    <numFmt numFmtId="168" formatCode="&quot;£&quot;#,##0.0"/>
  </numFmts>
  <fonts count="3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000000"/>
      <name val="Abadi"/>
      <family val="2"/>
    </font>
    <font>
      <b/>
      <sz val="14"/>
      <color theme="1"/>
      <name val="Abadi"/>
      <family val="2"/>
    </font>
    <font>
      <b/>
      <sz val="10"/>
      <color rgb="FF000000"/>
      <name val="Abadi"/>
      <family val="2"/>
    </font>
    <font>
      <b/>
      <sz val="14"/>
      <color rgb="FF000000"/>
      <name val="Abadi"/>
      <family val="2"/>
    </font>
    <font>
      <b/>
      <sz val="20"/>
      <color rgb="FF000000"/>
      <name val="Abadi"/>
      <family val="2"/>
    </font>
    <font>
      <sz val="11"/>
      <color theme="0"/>
      <name val="Aptos Narrow"/>
      <family val="2"/>
      <scheme val="minor"/>
    </font>
    <font>
      <sz val="12"/>
      <color rgb="FF000000"/>
      <name val="Abadi"/>
    </font>
    <font>
      <sz val="11"/>
      <color theme="1"/>
      <name val="Abadi"/>
    </font>
    <font>
      <sz val="10"/>
      <color rgb="FF000000"/>
      <name val="Abadi"/>
    </font>
    <font>
      <sz val="11"/>
      <color rgb="FF000000"/>
      <name val="Abadi"/>
    </font>
    <font>
      <sz val="14"/>
      <color rgb="FF000000"/>
      <name val="Abadi"/>
      <family val="2"/>
    </font>
    <font>
      <b/>
      <sz val="12"/>
      <color theme="1"/>
      <name val="Abadi"/>
    </font>
    <font>
      <b/>
      <sz val="12"/>
      <color theme="0"/>
      <name val="Abadi"/>
      <family val="2"/>
    </font>
    <font>
      <sz val="11"/>
      <name val="Aptos Narrow"/>
      <family val="2"/>
      <scheme val="minor"/>
    </font>
    <font>
      <sz val="11"/>
      <color theme="0"/>
      <name val="Abadi"/>
    </font>
    <font>
      <b/>
      <sz val="16"/>
      <color theme="0"/>
      <name val="Abadi"/>
      <family val="2"/>
    </font>
    <font>
      <b/>
      <sz val="14"/>
      <color theme="0"/>
      <name val="Abadi"/>
      <family val="2"/>
    </font>
    <font>
      <sz val="12"/>
      <color theme="1"/>
      <name val="Abadi"/>
    </font>
    <font>
      <sz val="12"/>
      <color theme="1"/>
      <name val="Aptos Narrow"/>
      <scheme val="minor"/>
    </font>
    <font>
      <sz val="12"/>
      <color theme="1"/>
      <name val="Daytona"/>
      <family val="2"/>
    </font>
    <font>
      <sz val="12"/>
      <color theme="1" tint="4.9989318521683403E-2"/>
      <name val="Daytona"/>
      <family val="2"/>
    </font>
    <font>
      <b/>
      <sz val="12"/>
      <color theme="1" tint="4.9989318521683403E-2"/>
      <name val="Dayton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theme="3" tint="0.749992370372631"/>
      <name val="Arial"/>
      <family val="2"/>
    </font>
    <font>
      <sz val="16"/>
      <name val="Aptos Narrow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b/>
      <sz val="2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5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vertical="center"/>
    </xf>
    <xf numFmtId="165" fontId="0" fillId="0" borderId="0" xfId="0" applyNumberFormat="1"/>
    <xf numFmtId="0" fontId="1" fillId="0" borderId="0" xfId="0" applyFont="1"/>
    <xf numFmtId="0" fontId="6" fillId="2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165" fontId="13" fillId="2" borderId="15" xfId="0" applyNumberFormat="1" applyFont="1" applyFill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13" xfId="0" applyBorder="1"/>
    <xf numFmtId="0" fontId="0" fillId="0" borderId="26" xfId="0" applyBorder="1"/>
    <xf numFmtId="0" fontId="0" fillId="0" borderId="27" xfId="0" applyBorder="1"/>
    <xf numFmtId="0" fontId="0" fillId="0" borderId="25" xfId="0" applyBorder="1"/>
    <xf numFmtId="0" fontId="16" fillId="0" borderId="27" xfId="0" applyFont="1" applyBorder="1"/>
    <xf numFmtId="0" fontId="0" fillId="0" borderId="37" xfId="0" applyBorder="1"/>
    <xf numFmtId="0" fontId="15" fillId="6" borderId="13" xfId="0" applyFont="1" applyFill="1" applyBorder="1" applyAlignment="1">
      <alignment horizontal="center" vertical="center"/>
    </xf>
    <xf numFmtId="166" fontId="0" fillId="0" borderId="28" xfId="0" applyNumberFormat="1" applyBorder="1"/>
    <xf numFmtId="0" fontId="15" fillId="7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/>
    <xf numFmtId="0" fontId="10" fillId="4" borderId="13" xfId="0" applyFont="1" applyFill="1" applyBorder="1" applyAlignment="1">
      <alignment horizontal="center" vertical="center"/>
    </xf>
    <xf numFmtId="0" fontId="10" fillId="4" borderId="13" xfId="0" applyFont="1" applyFill="1" applyBorder="1"/>
    <xf numFmtId="0" fontId="9" fillId="0" borderId="13" xfId="0" applyFont="1" applyBorder="1" applyAlignment="1">
      <alignment horizontal="center" vertical="center"/>
    </xf>
    <xf numFmtId="165" fontId="9" fillId="0" borderId="19" xfId="0" applyNumberFormat="1" applyFont="1" applyBorder="1" applyAlignment="1">
      <alignment vertical="center"/>
    </xf>
    <xf numFmtId="165" fontId="9" fillId="0" borderId="21" xfId="0" applyNumberFormat="1" applyFont="1" applyBorder="1" applyAlignment="1">
      <alignment vertical="center"/>
    </xf>
    <xf numFmtId="165" fontId="9" fillId="0" borderId="23" xfId="0" applyNumberFormat="1" applyFont="1" applyBorder="1" applyAlignment="1">
      <alignment vertical="center"/>
    </xf>
    <xf numFmtId="166" fontId="21" fillId="2" borderId="24" xfId="0" applyNumberFormat="1" applyFont="1" applyFill="1" applyBorder="1" applyAlignment="1">
      <alignment horizontal="left" vertical="center" indent="1"/>
    </xf>
    <xf numFmtId="0" fontId="0" fillId="2" borderId="20" xfId="0" applyFill="1" applyBorder="1" applyAlignment="1">
      <alignment horizontal="center"/>
    </xf>
    <xf numFmtId="0" fontId="19" fillId="6" borderId="20" xfId="0" applyFont="1" applyFill="1" applyBorder="1" applyAlignment="1">
      <alignment horizontal="left" vertical="center"/>
    </xf>
    <xf numFmtId="165" fontId="15" fillId="6" borderId="21" xfId="0" applyNumberFormat="1" applyFont="1" applyFill="1" applyBorder="1" applyAlignment="1">
      <alignment horizontal="center" vertical="center"/>
    </xf>
    <xf numFmtId="0" fontId="12" fillId="0" borderId="20" xfId="0" applyFont="1" applyBorder="1" applyAlignment="1">
      <alignment horizontal="left" vertical="center"/>
    </xf>
    <xf numFmtId="8" fontId="9" fillId="0" borderId="21" xfId="0" applyNumberFormat="1" applyFont="1" applyBorder="1" applyAlignment="1">
      <alignment horizontal="right" vertical="center"/>
    </xf>
    <xf numFmtId="0" fontId="17" fillId="7" borderId="20" xfId="0" applyFont="1" applyFill="1" applyBorder="1" applyAlignment="1">
      <alignment vertical="center"/>
    </xf>
    <xf numFmtId="165" fontId="15" fillId="7" borderId="21" xfId="0" applyNumberFormat="1" applyFont="1" applyFill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7" fillId="5" borderId="20" xfId="0" applyFont="1" applyFill="1" applyBorder="1" applyAlignment="1">
      <alignment vertical="center"/>
    </xf>
    <xf numFmtId="0" fontId="10" fillId="4" borderId="20" xfId="0" applyFont="1" applyFill="1" applyBorder="1" applyAlignment="1">
      <alignment vertical="center"/>
    </xf>
    <xf numFmtId="165" fontId="9" fillId="4" borderId="21" xfId="0" applyNumberFormat="1" applyFont="1" applyFill="1" applyBorder="1" applyAlignment="1">
      <alignment vertical="center"/>
    </xf>
    <xf numFmtId="0" fontId="18" fillId="6" borderId="20" xfId="0" applyFont="1" applyFill="1" applyBorder="1" applyAlignment="1">
      <alignment vertical="center"/>
    </xf>
    <xf numFmtId="165" fontId="20" fillId="0" borderId="21" xfId="0" applyNumberFormat="1" applyFont="1" applyBorder="1" applyAlignment="1">
      <alignment vertical="center"/>
    </xf>
    <xf numFmtId="0" fontId="18" fillId="6" borderId="20" xfId="0" applyFont="1" applyFill="1" applyBorder="1" applyAlignment="1">
      <alignment horizontal="left" vertical="center"/>
    </xf>
    <xf numFmtId="0" fontId="10" fillId="0" borderId="22" xfId="0" applyFont="1" applyBorder="1" applyAlignment="1">
      <alignment vertical="center"/>
    </xf>
    <xf numFmtId="167" fontId="22" fillId="0" borderId="0" xfId="0" applyNumberFormat="1" applyFont="1"/>
    <xf numFmtId="167" fontId="22" fillId="2" borderId="13" xfId="0" applyNumberFormat="1" applyFont="1" applyFill="1" applyBorder="1" applyAlignment="1">
      <alignment horizontal="center"/>
    </xf>
    <xf numFmtId="167" fontId="22" fillId="0" borderId="13" xfId="0" applyNumberFormat="1" applyFont="1" applyBorder="1" applyAlignment="1">
      <alignment horizontal="center"/>
    </xf>
    <xf numFmtId="167" fontId="22" fillId="0" borderId="0" xfId="0" applyNumberFormat="1" applyFont="1" applyAlignment="1">
      <alignment horizontal="center"/>
    </xf>
    <xf numFmtId="167" fontId="22" fillId="0" borderId="0" xfId="0" applyNumberFormat="1" applyFont="1" applyAlignment="1">
      <alignment horizontal="right"/>
    </xf>
    <xf numFmtId="167" fontId="22" fillId="2" borderId="38" xfId="0" applyNumberFormat="1" applyFont="1" applyFill="1" applyBorder="1" applyAlignment="1">
      <alignment horizontal="center"/>
    </xf>
    <xf numFmtId="167" fontId="22" fillId="0" borderId="38" xfId="0" applyNumberFormat="1" applyFont="1" applyBorder="1" applyAlignment="1">
      <alignment horizontal="center"/>
    </xf>
    <xf numFmtId="167" fontId="22" fillId="2" borderId="35" xfId="0" applyNumberFormat="1" applyFont="1" applyFill="1" applyBorder="1" applyAlignment="1">
      <alignment horizontal="center"/>
    </xf>
    <xf numFmtId="167" fontId="22" fillId="0" borderId="35" xfId="0" applyNumberFormat="1" applyFont="1" applyBorder="1" applyAlignment="1">
      <alignment horizontal="center"/>
    </xf>
    <xf numFmtId="167" fontId="22" fillId="0" borderId="36" xfId="0" applyNumberFormat="1" applyFont="1" applyBorder="1" applyAlignment="1">
      <alignment horizontal="center"/>
    </xf>
    <xf numFmtId="167" fontId="22" fillId="0" borderId="25" xfId="0" applyNumberFormat="1" applyFont="1" applyBorder="1" applyAlignment="1">
      <alignment horizontal="center"/>
    </xf>
    <xf numFmtId="167" fontId="22" fillId="0" borderId="33" xfId="0" applyNumberFormat="1" applyFont="1" applyBorder="1" applyAlignment="1">
      <alignment horizontal="center"/>
    </xf>
    <xf numFmtId="167" fontId="23" fillId="3" borderId="39" xfId="0" applyNumberFormat="1" applyFont="1" applyFill="1" applyBorder="1" applyAlignment="1">
      <alignment horizontal="center"/>
    </xf>
    <xf numFmtId="167" fontId="24" fillId="3" borderId="32" xfId="0" applyNumberFormat="1" applyFont="1" applyFill="1" applyBorder="1" applyAlignment="1">
      <alignment horizontal="center"/>
    </xf>
    <xf numFmtId="167" fontId="24" fillId="3" borderId="34" xfId="0" applyNumberFormat="1" applyFont="1" applyFill="1" applyBorder="1" applyAlignment="1">
      <alignment horizontal="center"/>
    </xf>
    <xf numFmtId="166" fontId="0" fillId="0" borderId="13" xfId="0" applyNumberFormat="1" applyBorder="1"/>
    <xf numFmtId="166" fontId="0" fillId="0" borderId="25" xfId="0" applyNumberFormat="1" applyBorder="1"/>
    <xf numFmtId="166" fontId="0" fillId="0" borderId="30" xfId="0" applyNumberFormat="1" applyBorder="1"/>
    <xf numFmtId="166" fontId="0" fillId="0" borderId="31" xfId="0" applyNumberFormat="1" applyBorder="1"/>
    <xf numFmtId="166" fontId="0" fillId="0" borderId="29" xfId="0" applyNumberFormat="1" applyBorder="1" applyAlignment="1">
      <alignment horizontal="right"/>
    </xf>
    <xf numFmtId="166" fontId="0" fillId="0" borderId="28" xfId="1" applyNumberFormat="1" applyFont="1" applyFill="1" applyBorder="1"/>
    <xf numFmtId="166" fontId="0" fillId="0" borderId="0" xfId="0" applyNumberFormat="1"/>
    <xf numFmtId="0" fontId="0" fillId="3" borderId="0" xfId="0" applyFill="1"/>
    <xf numFmtId="0" fontId="26" fillId="3" borderId="0" xfId="0" applyFont="1" applyFill="1"/>
    <xf numFmtId="0" fontId="8" fillId="3" borderId="0" xfId="0" applyFont="1" applyFill="1" applyAlignment="1">
      <alignment horizontal="center"/>
    </xf>
    <xf numFmtId="0" fontId="8" fillId="3" borderId="0" xfId="0" applyFont="1" applyFill="1"/>
    <xf numFmtId="0" fontId="28" fillId="3" borderId="0" xfId="0" applyFont="1" applyFill="1"/>
    <xf numFmtId="0" fontId="27" fillId="3" borderId="0" xfId="0" applyFont="1" applyFill="1" applyAlignment="1">
      <alignment vertical="center"/>
    </xf>
    <xf numFmtId="0" fontId="16" fillId="3" borderId="0" xfId="0" applyFont="1" applyFill="1"/>
    <xf numFmtId="0" fontId="27" fillId="3" borderId="14" xfId="0" applyFont="1" applyFill="1" applyBorder="1" applyAlignment="1">
      <alignment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/>
    </xf>
    <xf numFmtId="0" fontId="29" fillId="3" borderId="0" xfId="0" applyFont="1" applyFill="1"/>
    <xf numFmtId="0" fontId="29" fillId="3" borderId="12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/>
    </xf>
    <xf numFmtId="0" fontId="16" fillId="3" borderId="7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left" vertical="center"/>
    </xf>
    <xf numFmtId="0" fontId="30" fillId="3" borderId="7" xfId="0" applyFont="1" applyFill="1" applyBorder="1" applyAlignment="1">
      <alignment horizontal="center" vertical="center"/>
    </xf>
    <xf numFmtId="168" fontId="0" fillId="0" borderId="0" xfId="0" applyNumberFormat="1"/>
    <xf numFmtId="17" fontId="31" fillId="3" borderId="0" xfId="0" applyNumberFormat="1" applyFont="1" applyFill="1"/>
    <xf numFmtId="0" fontId="29" fillId="3" borderId="7" xfId="0" applyFont="1" applyFill="1" applyBorder="1" applyAlignment="1">
      <alignment vertical="center"/>
    </xf>
    <xf numFmtId="0" fontId="28" fillId="3" borderId="0" xfId="0" applyFont="1" applyFill="1" applyAlignment="1">
      <alignment vertical="center"/>
    </xf>
    <xf numFmtId="0" fontId="32" fillId="8" borderId="7" xfId="0" applyFont="1" applyFill="1" applyBorder="1" applyAlignment="1">
      <alignment horizontal="center" vertical="center"/>
    </xf>
    <xf numFmtId="0" fontId="33" fillId="9" borderId="7" xfId="0" applyFont="1" applyFill="1" applyBorder="1" applyAlignment="1">
      <alignment horizontal="center" vertical="center"/>
    </xf>
    <xf numFmtId="0" fontId="29" fillId="9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left" vertical="center"/>
    </xf>
    <xf numFmtId="0" fontId="27" fillId="3" borderId="9" xfId="0" applyFont="1" applyFill="1" applyBorder="1" applyAlignment="1">
      <alignment horizontal="left" vertical="center"/>
    </xf>
    <xf numFmtId="0" fontId="27" fillId="3" borderId="10" xfId="0" applyFont="1" applyFill="1" applyBorder="1" applyAlignment="1">
      <alignment horizontal="left" vertical="center"/>
    </xf>
    <xf numFmtId="166" fontId="35" fillId="3" borderId="0" xfId="0" applyNumberFormat="1" applyFont="1" applyFill="1" applyAlignment="1">
      <alignment horizontal="right" vertical="center"/>
    </xf>
    <xf numFmtId="166" fontId="35" fillId="3" borderId="14" xfId="0" applyNumberFormat="1" applyFont="1" applyFill="1" applyBorder="1" applyAlignment="1">
      <alignment horizontal="right" vertical="center"/>
    </xf>
    <xf numFmtId="0" fontId="34" fillId="3" borderId="0" xfId="0" applyFont="1" applyFill="1" applyAlignment="1">
      <alignment horizontal="right" vertical="center"/>
    </xf>
    <xf numFmtId="0" fontId="34" fillId="3" borderId="14" xfId="0" applyFont="1" applyFill="1" applyBorder="1" applyAlignment="1">
      <alignment horizontal="right" vertical="center"/>
    </xf>
    <xf numFmtId="0" fontId="27" fillId="3" borderId="7" xfId="0" applyFont="1" applyFill="1" applyBorder="1" applyAlignment="1">
      <alignment horizontal="left"/>
    </xf>
    <xf numFmtId="0" fontId="29" fillId="3" borderId="7" xfId="0" applyFont="1" applyFill="1" applyBorder="1" applyAlignment="1">
      <alignment horizontal="left"/>
    </xf>
    <xf numFmtId="0" fontId="29" fillId="3" borderId="7" xfId="0" applyFont="1" applyFill="1" applyBorder="1" applyAlignment="1">
      <alignment horizontal="left" vertical="center"/>
    </xf>
    <xf numFmtId="0" fontId="27" fillId="8" borderId="7" xfId="0" applyFont="1" applyFill="1" applyBorder="1" applyAlignment="1">
      <alignment horizontal="left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left" vertical="center"/>
    </xf>
    <xf numFmtId="0" fontId="29" fillId="3" borderId="10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47">
    <dxf>
      <font>
        <strike val="0"/>
        <outline val="0"/>
        <shadow val="0"/>
        <u val="none"/>
        <vertAlign val="baseline"/>
        <sz val="12"/>
        <color rgb="FF000000"/>
        <name val="Abadi"/>
        <scheme val="none"/>
      </font>
    </dxf>
    <dxf>
      <border outline="0">
        <left style="medium">
          <color indexed="64"/>
        </left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color theme="0"/>
        <name val="Abadi"/>
        <scheme val="none"/>
      </font>
      <fill>
        <patternFill patternType="solid">
          <fgColor theme="4" tint="0.79998168889431442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badi"/>
        <scheme val="none"/>
      </font>
      <numFmt numFmtId="165" formatCode="&quot;£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strike val="0"/>
        <outline val="0"/>
        <shadow val="0"/>
        <u val="none"/>
        <vertAlign val="baseline"/>
        <color theme="0"/>
        <name val="Abadi"/>
        <scheme val="none"/>
      </font>
      <fill>
        <patternFill patternType="solid">
          <fgColor indexed="64"/>
          <bgColor theme="3" tint="0.249977111117893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badi"/>
        <scheme val="none"/>
      </font>
      <numFmt numFmtId="165" formatCode="&quot;£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color theme="0"/>
        <name val="Abadi"/>
        <scheme val="none"/>
      </font>
      <fill>
        <patternFill patternType="solid">
          <fgColor indexed="64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badi"/>
        <scheme val="none"/>
      </font>
      <numFmt numFmtId="165" formatCode="&quot;£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Abadi"/>
        <scheme val="none"/>
      </font>
      <fill>
        <patternFill patternType="solid">
          <fgColor indexed="64"/>
          <bgColor theme="4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badi"/>
        <scheme val="none"/>
      </font>
      <numFmt numFmtId="165" formatCode="&quot;£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Abadi"/>
        <scheme val="none"/>
      </font>
      <fill>
        <patternFill patternType="solid">
          <fgColor indexed="64"/>
          <bgColor theme="4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badi"/>
        <scheme val="none"/>
      </font>
      <numFmt numFmtId="165" formatCode="&quot;£&quot;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Abadi"/>
        <scheme val="none"/>
      </font>
      <fill>
        <patternFill patternType="solid">
          <fgColor indexed="64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ytona"/>
        <scheme val="none"/>
      </font>
      <numFmt numFmtId="167" formatCode="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ytona"/>
        <scheme val="none"/>
      </font>
      <numFmt numFmtId="167" formatCode="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ytona"/>
        <scheme val="none"/>
      </font>
      <numFmt numFmtId="167" formatCode="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ytona"/>
        <scheme val="none"/>
      </font>
      <numFmt numFmtId="167" formatCode="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ytona"/>
        <scheme val="none"/>
      </font>
      <numFmt numFmtId="167" formatCode="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ytona"/>
        <scheme val="none"/>
      </font>
      <numFmt numFmtId="167" formatCode="&quot;£&quot;#,##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ytona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Daytona"/>
        <scheme val="none"/>
      </font>
      <numFmt numFmtId="167" formatCode="&quot;£&quot;#,##0"/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250442</xdr:colOff>
      <xdr:row>0</xdr:row>
      <xdr:rowOff>76200</xdr:rowOff>
    </xdr:from>
    <xdr:ext cx="1921722" cy="178101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442" y="76200"/>
          <a:ext cx="1921722" cy="1781018"/>
        </a:xfrm>
        <a:prstGeom prst="rect">
          <a:avLst/>
        </a:prstGeom>
      </xdr:spPr>
    </xdr:pic>
    <xdr:clientData/>
  </xdr:oneCellAnchor>
  <xdr:twoCellAnchor>
    <xdr:from>
      <xdr:col>5</xdr:col>
      <xdr:colOff>81311</xdr:colOff>
      <xdr:row>1</xdr:row>
      <xdr:rowOff>177801</xdr:rowOff>
    </xdr:from>
    <xdr:to>
      <xdr:col>12</xdr:col>
      <xdr:colOff>414867</xdr:colOff>
      <xdr:row>6</xdr:row>
      <xdr:rowOff>110066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915778" y="364068"/>
          <a:ext cx="5252689" cy="948265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VERANDA &amp; GARDEN ROOM CALCULATION SHEET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F21" totalsRowShown="0" headerRowDxfId="46" dataDxfId="44" headerRowBorderDxfId="45" tableBorderDxfId="43" totalsRowBorderDxfId="42">
  <autoFilter ref="A1:F21" xr:uid="{00000000-0009-0000-0100-000004000000}"/>
  <tableColumns count="6">
    <tableColumn id="1" xr3:uid="{00000000-0010-0000-0000-000001000000}" name="Column1" dataDxfId="41"/>
    <tableColumn id="2" xr3:uid="{00000000-0010-0000-0000-000002000000}" name="NANTES" dataDxfId="40"/>
    <tableColumn id="3" xr3:uid="{00000000-0010-0000-0000-000003000000}" name="BORDEAUX" dataDxfId="39"/>
    <tableColumn id="4" xr3:uid="{00000000-0010-0000-0000-000004000000}" name="GIRONDE" dataDxfId="38"/>
    <tableColumn id="5" xr3:uid="{00000000-0010-0000-0000-000005000000}" name="PROVENCE" dataDxfId="37"/>
    <tableColumn id="6" xr3:uid="{00000000-0010-0000-0000-000006000000}" name="PROVENCE PLUS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B18:E26" totalsRowShown="0" headerRowDxfId="35" headerRowBorderDxfId="34" tableBorderDxfId="33">
  <autoFilter ref="B18:E26" xr:uid="{00000000-0009-0000-0100-000001000000}"/>
  <tableColumns count="4">
    <tableColumn id="1" xr3:uid="{00000000-0010-0000-0100-000001000000}" name="LEFT RETURN" dataDxfId="32"/>
    <tableColumn id="2" xr3:uid="{00000000-0010-0000-0100-000002000000}" name="COLOUR" dataDxfId="31"/>
    <tableColumn id="3" xr3:uid="{00000000-0010-0000-0100-000003000000}" name="QTY" dataDxfId="30"/>
    <tableColumn id="4" xr3:uid="{00000000-0010-0000-0100-000004000000}" name="PRICE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B27:E35" totalsRowShown="0" headerRowDxfId="28" headerRowBorderDxfId="27" tableBorderDxfId="26">
  <autoFilter ref="B27:E35" xr:uid="{00000000-0009-0000-0100-000002000000}"/>
  <tableColumns count="4">
    <tableColumn id="1" xr3:uid="{00000000-0010-0000-0200-000001000000}" name="FRONT" dataDxfId="25"/>
    <tableColumn id="2" xr3:uid="{00000000-0010-0000-0200-000002000000}" name="COLOUR" dataDxfId="24"/>
    <tableColumn id="3" xr3:uid="{00000000-0010-0000-0200-000003000000}" name="QTY" dataDxfId="23"/>
    <tableColumn id="4" xr3:uid="{00000000-0010-0000-0200-000004000000}" name="PRIC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B36:E44" totalsRowShown="0" headerRowDxfId="21" headerRowBorderDxfId="20" tableBorderDxfId="19">
  <autoFilter ref="B36:E44" xr:uid="{00000000-0009-0000-0100-000003000000}"/>
  <tableColumns count="4">
    <tableColumn id="1" xr3:uid="{00000000-0010-0000-0300-000001000000}" name="RIGHT RETURN" dataDxfId="18"/>
    <tableColumn id="2" xr3:uid="{00000000-0010-0000-0300-000002000000}" name="COLOUR" dataDxfId="17"/>
    <tableColumn id="3" xr3:uid="{00000000-0010-0000-0300-000003000000}" name="QTY" dataDxfId="16"/>
    <tableColumn id="4" xr3:uid="{00000000-0010-0000-0300-000004000000}" name="PRICE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B10:E12" totalsRowShown="0" headerRowDxfId="14" tableBorderDxfId="13">
  <autoFilter ref="B10:E12" xr:uid="{00000000-0009-0000-0100-000005000000}"/>
  <tableColumns count="4">
    <tableColumn id="1" xr3:uid="{00000000-0010-0000-0400-000001000000}" name="GUTTER" dataDxfId="12"/>
    <tableColumn id="2" xr3:uid="{00000000-0010-0000-0400-000002000000}" name="COLOUR" dataDxfId="11"/>
    <tableColumn id="3" xr3:uid="{00000000-0010-0000-0400-000003000000}" name="QTY" dataDxfId="10"/>
    <tableColumn id="4" xr3:uid="{00000000-0010-0000-0400-000004000000}" name="PRICE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B7:E9" totalsRowShown="0" headerRowDxfId="8" tableBorderDxfId="7">
  <autoFilter ref="B7:E9" xr:uid="{00000000-0009-0000-0100-000006000000}"/>
  <tableColumns count="4">
    <tableColumn id="1" xr3:uid="{00000000-0010-0000-0500-000001000000}" name="ROOF" dataDxfId="6"/>
    <tableColumn id="2" xr3:uid="{00000000-0010-0000-0500-000002000000}" name="COLOUR" dataDxfId="5"/>
    <tableColumn id="3" xr3:uid="{00000000-0010-0000-0500-000003000000}" name="QTY" dataDxfId="4"/>
    <tableColumn id="4" xr3:uid="{00000000-0010-0000-0500-000004000000}" name="PRICE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B13:E15" totalsRowShown="0" headerRowDxfId="2" tableBorderDxfId="1">
  <autoFilter ref="B13:E15" xr:uid="{00000000-0009-0000-0100-000007000000}"/>
  <tableColumns count="4">
    <tableColumn id="1" xr3:uid="{00000000-0010-0000-0600-000001000000}" name="POSTS"/>
    <tableColumn id="2" xr3:uid="{00000000-0010-0000-0600-000002000000}" name="COLOUR"/>
    <tableColumn id="3" xr3:uid="{00000000-0010-0000-0600-000003000000}" name="QTY">
      <calculatedColumnFormula>#REF!</calculatedColumnFormula>
    </tableColumn>
    <tableColumn id="4" xr3:uid="{00000000-0010-0000-0600-000004000000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workbookViewId="0">
      <selection activeCell="H7" sqref="H7"/>
    </sheetView>
  </sheetViews>
  <sheetFormatPr defaultRowHeight="18.75" x14ac:dyDescent="0.4"/>
  <cols>
    <col min="1" max="1" width="15.42578125" style="51" customWidth="1"/>
    <col min="2" max="5" width="15.5703125" style="48" customWidth="1"/>
    <col min="6" max="6" width="15.5703125" style="52" customWidth="1"/>
    <col min="11" max="11" width="16" customWidth="1"/>
    <col min="12" max="12" width="15.85546875" customWidth="1"/>
    <col min="13" max="13" width="17" customWidth="1"/>
  </cols>
  <sheetData>
    <row r="1" spans="1:13" x14ac:dyDescent="0.4">
      <c r="A1" s="60" t="s">
        <v>62</v>
      </c>
      <c r="B1" s="61" t="s">
        <v>36</v>
      </c>
      <c r="C1" s="61" t="s">
        <v>37</v>
      </c>
      <c r="D1" s="61" t="s">
        <v>38</v>
      </c>
      <c r="E1" s="61" t="s">
        <v>39</v>
      </c>
      <c r="F1" s="62" t="s">
        <v>66</v>
      </c>
    </row>
    <row r="2" spans="1:13" ht="30" customHeight="1" x14ac:dyDescent="0.4">
      <c r="A2" s="53" t="s">
        <v>40</v>
      </c>
      <c r="B2" s="49">
        <v>3369.6</v>
      </c>
      <c r="C2" s="49">
        <v>4008</v>
      </c>
      <c r="D2" s="49">
        <v>8416.8000000000011</v>
      </c>
      <c r="E2" s="49">
        <v>7887.5999999999995</v>
      </c>
      <c r="F2" s="55" t="s">
        <v>64</v>
      </c>
      <c r="I2" s="15">
        <f>INDEX(B2:F21,MATCH('PRESENTATION SHEET'!D12,VerandaPriceMatrix!A2:A21,0),MATCH('PRESENTATION SHEET'!D13,VerandaPriceMatrix!B1:F1,0))</f>
        <v>4735.2</v>
      </c>
      <c r="K2" s="2">
        <f>SUM(D2*1.75)</f>
        <v>14729.400000000001</v>
      </c>
      <c r="L2" s="2">
        <f>SUM(E2*1.75)</f>
        <v>13803.3</v>
      </c>
      <c r="M2" s="90" t="e">
        <f>SUM(F2*1.8)</f>
        <v>#VALUE!</v>
      </c>
    </row>
    <row r="3" spans="1:13" ht="30" customHeight="1" x14ac:dyDescent="0.4">
      <c r="A3" s="54" t="s">
        <v>42</v>
      </c>
      <c r="B3" s="50">
        <v>3662.4</v>
      </c>
      <c r="C3" s="50">
        <v>4224</v>
      </c>
      <c r="D3" s="50">
        <v>8916.6</v>
      </c>
      <c r="E3" s="50">
        <v>8484</v>
      </c>
      <c r="F3" s="56">
        <v>12136.32</v>
      </c>
      <c r="K3" s="2">
        <f t="shared" ref="K3:K21" si="0">SUM(D3*1.75)</f>
        <v>15604.050000000001</v>
      </c>
      <c r="L3" s="2">
        <f t="shared" ref="L3:L21" si="1">SUM(E3*1.75)</f>
        <v>14847</v>
      </c>
      <c r="M3" s="90">
        <f t="shared" ref="M3:M21" si="2">SUM(F3*1.8)</f>
        <v>21845.376</v>
      </c>
    </row>
    <row r="4" spans="1:13" ht="30" customHeight="1" x14ac:dyDescent="0.4">
      <c r="A4" s="53" t="s">
        <v>43</v>
      </c>
      <c r="B4" s="49">
        <v>3818.4</v>
      </c>
      <c r="C4" s="49">
        <v>4456.7999999999993</v>
      </c>
      <c r="D4" s="49">
        <v>9462.6</v>
      </c>
      <c r="E4" s="49">
        <v>9076.1999999999989</v>
      </c>
      <c r="F4" s="55">
        <v>13160.16</v>
      </c>
      <c r="K4" s="2">
        <f t="shared" si="0"/>
        <v>16559.55</v>
      </c>
      <c r="L4" s="2">
        <f t="shared" si="1"/>
        <v>15883.349999999999</v>
      </c>
      <c r="M4" s="90">
        <f t="shared" si="2"/>
        <v>23688.288</v>
      </c>
    </row>
    <row r="5" spans="1:13" ht="30" customHeight="1" x14ac:dyDescent="0.4">
      <c r="A5" s="54" t="s">
        <v>44</v>
      </c>
      <c r="B5" s="50" t="s">
        <v>41</v>
      </c>
      <c r="C5" s="50">
        <v>4862.3999999999996</v>
      </c>
      <c r="D5" s="50">
        <v>10403.4</v>
      </c>
      <c r="E5" s="50">
        <v>9735.6</v>
      </c>
      <c r="F5" s="56">
        <v>14253.119999999999</v>
      </c>
      <c r="K5" s="2">
        <f t="shared" si="0"/>
        <v>18205.95</v>
      </c>
      <c r="L5" s="2">
        <f t="shared" si="1"/>
        <v>17037.3</v>
      </c>
      <c r="M5" s="90">
        <f t="shared" si="2"/>
        <v>25655.615999999998</v>
      </c>
    </row>
    <row r="6" spans="1:13" ht="30" customHeight="1" x14ac:dyDescent="0.4">
      <c r="A6" s="53" t="s">
        <v>45</v>
      </c>
      <c r="B6" s="49" t="s">
        <v>41</v>
      </c>
      <c r="C6" s="49">
        <v>5901.5999999999995</v>
      </c>
      <c r="D6" s="49">
        <v>12167.4</v>
      </c>
      <c r="E6" s="49" t="s">
        <v>64</v>
      </c>
      <c r="F6" s="55" t="s">
        <v>64</v>
      </c>
      <c r="K6" s="2">
        <f t="shared" si="0"/>
        <v>21292.95</v>
      </c>
      <c r="L6" s="2" t="e">
        <f t="shared" si="1"/>
        <v>#VALUE!</v>
      </c>
      <c r="M6" s="90" t="e">
        <f t="shared" si="2"/>
        <v>#VALUE!</v>
      </c>
    </row>
    <row r="7" spans="1:13" ht="30" customHeight="1" x14ac:dyDescent="0.4">
      <c r="A7" s="54" t="s">
        <v>46</v>
      </c>
      <c r="B7" s="50">
        <v>3717.6</v>
      </c>
      <c r="C7" s="50">
        <v>4435.2</v>
      </c>
      <c r="D7" s="50">
        <v>9399.6</v>
      </c>
      <c r="E7" s="50">
        <v>8845.1999999999989</v>
      </c>
      <c r="F7" s="56" t="s">
        <v>64</v>
      </c>
      <c r="K7" s="2">
        <f t="shared" si="0"/>
        <v>16449.3</v>
      </c>
      <c r="L7" s="2">
        <f t="shared" si="1"/>
        <v>15479.099999999999</v>
      </c>
      <c r="M7" s="90" t="e">
        <f t="shared" si="2"/>
        <v>#VALUE!</v>
      </c>
    </row>
    <row r="8" spans="1:13" ht="30" customHeight="1" x14ac:dyDescent="0.4">
      <c r="A8" s="53" t="s">
        <v>47</v>
      </c>
      <c r="B8" s="49">
        <v>3931.2</v>
      </c>
      <c r="C8" s="49">
        <v>4735.2</v>
      </c>
      <c r="D8" s="49">
        <v>10122</v>
      </c>
      <c r="E8" s="49">
        <v>9378.6</v>
      </c>
      <c r="F8" s="55">
        <v>13682.88</v>
      </c>
      <c r="K8" s="2">
        <f t="shared" si="0"/>
        <v>17713.5</v>
      </c>
      <c r="L8" s="2">
        <f t="shared" si="1"/>
        <v>16412.55</v>
      </c>
      <c r="M8" s="90">
        <f t="shared" si="2"/>
        <v>24629.183999999997</v>
      </c>
    </row>
    <row r="9" spans="1:13" ht="30" customHeight="1" x14ac:dyDescent="0.4">
      <c r="A9" s="54" t="s">
        <v>48</v>
      </c>
      <c r="B9" s="50">
        <v>4168.7999999999993</v>
      </c>
      <c r="C9" s="50">
        <v>4965.6000000000004</v>
      </c>
      <c r="D9" s="50">
        <v>10630.199999999999</v>
      </c>
      <c r="E9" s="50">
        <v>10033.799999999999</v>
      </c>
      <c r="F9" s="56">
        <v>14883.839999999998</v>
      </c>
      <c r="K9" s="2">
        <f t="shared" si="0"/>
        <v>18602.849999999999</v>
      </c>
      <c r="L9" s="2">
        <f t="shared" si="1"/>
        <v>17559.149999999998</v>
      </c>
      <c r="M9" s="90">
        <f t="shared" si="2"/>
        <v>26790.911999999997</v>
      </c>
    </row>
    <row r="10" spans="1:13" ht="30" customHeight="1" x14ac:dyDescent="0.4">
      <c r="A10" s="53" t="s">
        <v>49</v>
      </c>
      <c r="B10" s="49" t="s">
        <v>41</v>
      </c>
      <c r="C10" s="49">
        <v>5431.2</v>
      </c>
      <c r="D10" s="49">
        <v>11705.4</v>
      </c>
      <c r="E10" s="49">
        <v>11419.8</v>
      </c>
      <c r="F10" s="55">
        <v>16827.84</v>
      </c>
      <c r="K10" s="2">
        <f t="shared" si="0"/>
        <v>20484.45</v>
      </c>
      <c r="L10" s="2">
        <f t="shared" si="1"/>
        <v>19984.649999999998</v>
      </c>
      <c r="M10" s="90">
        <f t="shared" si="2"/>
        <v>30290.112000000001</v>
      </c>
    </row>
    <row r="11" spans="1:13" ht="30" customHeight="1" x14ac:dyDescent="0.4">
      <c r="A11" s="54" t="s">
        <v>50</v>
      </c>
      <c r="B11" s="50" t="s">
        <v>41</v>
      </c>
      <c r="C11" s="50">
        <v>5858.4</v>
      </c>
      <c r="D11" s="50">
        <v>13860</v>
      </c>
      <c r="E11" s="50" t="s">
        <v>64</v>
      </c>
      <c r="F11" s="56" t="s">
        <v>64</v>
      </c>
      <c r="K11" s="2">
        <f t="shared" si="0"/>
        <v>24255</v>
      </c>
      <c r="L11" s="2" t="e">
        <f t="shared" si="1"/>
        <v>#VALUE!</v>
      </c>
      <c r="M11" s="90" t="e">
        <f t="shared" si="2"/>
        <v>#VALUE!</v>
      </c>
    </row>
    <row r="12" spans="1:13" ht="30" customHeight="1" x14ac:dyDescent="0.4">
      <c r="A12" s="53" t="s">
        <v>51</v>
      </c>
      <c r="B12" s="49">
        <v>4072.7999999999997</v>
      </c>
      <c r="C12" s="49">
        <v>6700.8</v>
      </c>
      <c r="D12" s="49">
        <v>10403.4</v>
      </c>
      <c r="E12" s="49">
        <v>9916.1999999999989</v>
      </c>
      <c r="F12" s="55" t="s">
        <v>64</v>
      </c>
      <c r="K12" s="2">
        <f t="shared" si="0"/>
        <v>18205.95</v>
      </c>
      <c r="L12" s="2">
        <f t="shared" si="1"/>
        <v>17353.349999999999</v>
      </c>
      <c r="M12" s="90" t="e">
        <f t="shared" si="2"/>
        <v>#VALUE!</v>
      </c>
    </row>
    <row r="13" spans="1:13" ht="30" customHeight="1" x14ac:dyDescent="0.4">
      <c r="A13" s="54" t="s">
        <v>52</v>
      </c>
      <c r="B13" s="50">
        <v>4353.6000000000004</v>
      </c>
      <c r="C13" s="50">
        <v>4862.3999999999996</v>
      </c>
      <c r="D13" s="50">
        <v>11058.6</v>
      </c>
      <c r="E13" s="50">
        <v>10508.4</v>
      </c>
      <c r="F13" s="56">
        <v>15488.64</v>
      </c>
      <c r="K13" s="2">
        <f t="shared" si="0"/>
        <v>19352.55</v>
      </c>
      <c r="L13" s="2">
        <f t="shared" si="1"/>
        <v>18389.7</v>
      </c>
      <c r="M13" s="90">
        <f t="shared" si="2"/>
        <v>27879.552</v>
      </c>
    </row>
    <row r="14" spans="1:13" ht="30" customHeight="1" x14ac:dyDescent="0.4">
      <c r="A14" s="53" t="s">
        <v>53</v>
      </c>
      <c r="B14" s="49">
        <v>4701.6000000000004</v>
      </c>
      <c r="C14" s="49">
        <v>5491.2</v>
      </c>
      <c r="D14" s="49">
        <v>11844</v>
      </c>
      <c r="E14" s="49">
        <v>11113.199999999999</v>
      </c>
      <c r="F14" s="55">
        <v>16737.12</v>
      </c>
      <c r="K14" s="2">
        <f t="shared" si="0"/>
        <v>20727</v>
      </c>
      <c r="L14" s="2">
        <f t="shared" si="1"/>
        <v>19448.099999999999</v>
      </c>
      <c r="M14" s="90">
        <f t="shared" si="2"/>
        <v>30126.815999999999</v>
      </c>
    </row>
    <row r="15" spans="1:13" ht="30" customHeight="1" x14ac:dyDescent="0.4">
      <c r="A15" s="54" t="s">
        <v>54</v>
      </c>
      <c r="B15" s="50" t="s">
        <v>41</v>
      </c>
      <c r="C15" s="50">
        <v>6055.2</v>
      </c>
      <c r="D15" s="50">
        <v>13158.6</v>
      </c>
      <c r="E15" s="50">
        <v>12511.8</v>
      </c>
      <c r="F15" s="56">
        <v>18802.080000000002</v>
      </c>
      <c r="K15" s="2">
        <f t="shared" si="0"/>
        <v>23027.55</v>
      </c>
      <c r="L15" s="2">
        <f t="shared" si="1"/>
        <v>21895.649999999998</v>
      </c>
      <c r="M15" s="90">
        <f t="shared" si="2"/>
        <v>33843.744000000006</v>
      </c>
    </row>
    <row r="16" spans="1:13" ht="30" customHeight="1" x14ac:dyDescent="0.4">
      <c r="A16" s="53" t="s">
        <v>55</v>
      </c>
      <c r="B16" s="49" t="s">
        <v>41</v>
      </c>
      <c r="C16" s="49">
        <v>7624.8</v>
      </c>
      <c r="D16" s="49">
        <v>15695.399999999998</v>
      </c>
      <c r="E16" s="49" t="s">
        <v>64</v>
      </c>
      <c r="F16" s="55" t="s">
        <v>64</v>
      </c>
      <c r="K16" s="2">
        <f t="shared" si="0"/>
        <v>27466.949999999997</v>
      </c>
      <c r="L16" s="2" t="e">
        <f t="shared" si="1"/>
        <v>#VALUE!</v>
      </c>
      <c r="M16" s="90" t="e">
        <f t="shared" si="2"/>
        <v>#VALUE!</v>
      </c>
    </row>
    <row r="17" spans="1:13" ht="30" customHeight="1" x14ac:dyDescent="0.4">
      <c r="A17" s="54" t="s">
        <v>56</v>
      </c>
      <c r="B17" s="50" t="s">
        <v>41</v>
      </c>
      <c r="C17" s="50">
        <v>5599.2</v>
      </c>
      <c r="D17" s="50">
        <v>11466</v>
      </c>
      <c r="E17" s="50">
        <v>10962</v>
      </c>
      <c r="F17" s="56" t="s">
        <v>64</v>
      </c>
      <c r="K17" s="2">
        <f t="shared" si="0"/>
        <v>20065.5</v>
      </c>
      <c r="L17" s="2">
        <f t="shared" si="1"/>
        <v>19183.5</v>
      </c>
      <c r="M17" s="90" t="e">
        <f t="shared" si="2"/>
        <v>#VALUE!</v>
      </c>
    </row>
    <row r="18" spans="1:13" ht="30" customHeight="1" x14ac:dyDescent="0.4">
      <c r="A18" s="53" t="s">
        <v>57</v>
      </c>
      <c r="B18" s="49" t="s">
        <v>41</v>
      </c>
      <c r="C18" s="49">
        <v>5894.4</v>
      </c>
      <c r="D18" s="49">
        <v>11923.8</v>
      </c>
      <c r="E18" s="49">
        <v>11587.8</v>
      </c>
      <c r="F18" s="55" t="s">
        <v>64</v>
      </c>
      <c r="K18" s="2">
        <f t="shared" si="0"/>
        <v>20866.649999999998</v>
      </c>
      <c r="L18" s="2">
        <f t="shared" si="1"/>
        <v>20278.649999999998</v>
      </c>
      <c r="M18" s="90" t="e">
        <f t="shared" si="2"/>
        <v>#VALUE!</v>
      </c>
    </row>
    <row r="19" spans="1:13" ht="30" customHeight="1" x14ac:dyDescent="0.4">
      <c r="A19" s="54" t="s">
        <v>58</v>
      </c>
      <c r="B19" s="50" t="s">
        <v>41</v>
      </c>
      <c r="C19" s="50">
        <v>6295.2</v>
      </c>
      <c r="D19" s="50">
        <v>12965.4</v>
      </c>
      <c r="E19" s="50">
        <v>12423.6</v>
      </c>
      <c r="F19" s="56" t="s">
        <v>64</v>
      </c>
      <c r="K19" s="2">
        <f t="shared" si="0"/>
        <v>22689.45</v>
      </c>
      <c r="L19" s="2">
        <f t="shared" si="1"/>
        <v>21741.3</v>
      </c>
      <c r="M19" s="90" t="e">
        <f t="shared" si="2"/>
        <v>#VALUE!</v>
      </c>
    </row>
    <row r="20" spans="1:13" ht="30" customHeight="1" x14ac:dyDescent="0.4">
      <c r="A20" s="53" t="s">
        <v>59</v>
      </c>
      <c r="B20" s="49" t="s">
        <v>41</v>
      </c>
      <c r="C20" s="49">
        <v>6919.2</v>
      </c>
      <c r="D20" s="49">
        <v>15082.199999999999</v>
      </c>
      <c r="E20" s="49">
        <v>13830.6</v>
      </c>
      <c r="F20" s="55" t="s">
        <v>64</v>
      </c>
      <c r="K20" s="2">
        <f t="shared" si="0"/>
        <v>26393.85</v>
      </c>
      <c r="L20" s="2">
        <f t="shared" si="1"/>
        <v>24203.55</v>
      </c>
      <c r="M20" s="90" t="e">
        <f t="shared" si="2"/>
        <v>#VALUE!</v>
      </c>
    </row>
    <row r="21" spans="1:13" ht="30" customHeight="1" x14ac:dyDescent="0.4">
      <c r="A21" s="57" t="s">
        <v>60</v>
      </c>
      <c r="B21" s="58" t="s">
        <v>41</v>
      </c>
      <c r="C21" s="58">
        <v>9410.4</v>
      </c>
      <c r="D21" s="58">
        <v>17635.8</v>
      </c>
      <c r="E21" s="58" t="s">
        <v>64</v>
      </c>
      <c r="F21" s="59" t="s">
        <v>64</v>
      </c>
      <c r="K21" s="2">
        <f t="shared" si="0"/>
        <v>30862.649999999998</v>
      </c>
      <c r="L21" s="2" t="e">
        <f t="shared" si="1"/>
        <v>#VALUE!</v>
      </c>
      <c r="M21" s="90" t="e">
        <f t="shared" si="2"/>
        <v>#VALUE!</v>
      </c>
    </row>
    <row r="22" spans="1:13" x14ac:dyDescent="0.4">
      <c r="B22" s="51"/>
      <c r="C22" s="51"/>
      <c r="D22" s="51"/>
      <c r="E22" s="51"/>
      <c r="F22" s="51"/>
    </row>
    <row r="23" spans="1:13" x14ac:dyDescent="0.4">
      <c r="B23" s="51"/>
      <c r="C23" s="51"/>
      <c r="D23" s="51"/>
      <c r="E23" s="51"/>
      <c r="F23" s="51"/>
    </row>
    <row r="24" spans="1:13" x14ac:dyDescent="0.4">
      <c r="B24" s="51"/>
      <c r="C24" s="51"/>
      <c r="D24" s="51"/>
      <c r="E24" s="51"/>
      <c r="F24" s="51"/>
    </row>
    <row r="25" spans="1:13" x14ac:dyDescent="0.4">
      <c r="B25" s="51"/>
      <c r="C25" s="51"/>
      <c r="D25" s="51"/>
      <c r="E25" s="51"/>
      <c r="F25" s="51"/>
    </row>
  </sheetData>
  <pageMargins left="0.70866141732283472" right="0.70866141732283472" top="0.74803149606299213" bottom="0.74803149606299213" header="0.31496062992125984" footer="0.31496062992125984"/>
  <pageSetup paperSize="9" scale="82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54"/>
  <sheetViews>
    <sheetView topLeftCell="A27" workbookViewId="0">
      <selection activeCell="G53" sqref="G53"/>
    </sheetView>
  </sheetViews>
  <sheetFormatPr defaultRowHeight="15" x14ac:dyDescent="0.25"/>
  <cols>
    <col min="1" max="1" width="4.7109375" customWidth="1"/>
    <col min="2" max="2" width="45.28515625" customWidth="1"/>
    <col min="3" max="3" width="12.28515625" customWidth="1"/>
    <col min="4" max="4" width="12.7109375" customWidth="1"/>
    <col min="5" max="5" width="21.7109375" style="2" customWidth="1"/>
    <col min="6" max="6" width="3.28515625" customWidth="1"/>
    <col min="7" max="7" width="6.7109375" customWidth="1"/>
    <col min="8" max="8" width="7.140625" customWidth="1"/>
    <col min="9" max="9" width="13.5703125" customWidth="1"/>
    <col min="10" max="10" width="3.28515625" customWidth="1"/>
  </cols>
  <sheetData>
    <row r="1" spans="2:9" ht="25.15" customHeight="1" thickBot="1" x14ac:dyDescent="0.3"/>
    <row r="2" spans="2:9" ht="21.75" x14ac:dyDescent="0.25">
      <c r="B2" s="112" t="s">
        <v>7</v>
      </c>
      <c r="C2" s="113"/>
      <c r="D2" s="113"/>
      <c r="E2" s="114"/>
    </row>
    <row r="3" spans="2:9" ht="19.5" customHeight="1" thickBot="1" x14ac:dyDescent="0.3">
      <c r="B3" s="33"/>
      <c r="C3" s="115" t="s">
        <v>15</v>
      </c>
      <c r="D3" s="115"/>
      <c r="E3" s="116"/>
    </row>
    <row r="4" spans="2:9" ht="19.899999999999999" customHeight="1" thickBot="1" x14ac:dyDescent="0.3">
      <c r="B4" s="34" t="s">
        <v>16</v>
      </c>
      <c r="C4" s="21" t="s">
        <v>5</v>
      </c>
      <c r="D4" s="21" t="s">
        <v>6</v>
      </c>
      <c r="E4" s="35" t="s">
        <v>4</v>
      </c>
      <c r="F4" s="20"/>
      <c r="G4" s="16"/>
      <c r="H4" s="17"/>
      <c r="I4" s="22">
        <f>VerandaPriceMatrix!I2</f>
        <v>4735.2</v>
      </c>
    </row>
    <row r="5" spans="2:9" ht="19.899999999999999" customHeight="1" x14ac:dyDescent="0.25">
      <c r="B5" s="36" t="s">
        <v>35</v>
      </c>
      <c r="C5" s="28"/>
      <c r="D5" s="28">
        <v>1</v>
      </c>
      <c r="E5" s="37"/>
      <c r="I5" s="69"/>
    </row>
    <row r="6" spans="2:9" ht="19.899999999999999" customHeight="1" thickBot="1" x14ac:dyDescent="0.3">
      <c r="B6" s="36" t="s">
        <v>61</v>
      </c>
      <c r="C6" s="28"/>
      <c r="D6" s="28"/>
      <c r="E6" s="37"/>
      <c r="I6" s="69"/>
    </row>
    <row r="7" spans="2:9" ht="19.899999999999999" customHeight="1" thickBot="1" x14ac:dyDescent="0.3">
      <c r="B7" s="38" t="s">
        <v>24</v>
      </c>
      <c r="C7" s="23" t="s">
        <v>5</v>
      </c>
      <c r="D7" s="23" t="s">
        <v>6</v>
      </c>
      <c r="E7" s="39" t="s">
        <v>4</v>
      </c>
      <c r="G7" s="16">
        <f>'PRESENTATION SHEET'!G14</f>
        <v>2</v>
      </c>
      <c r="H7" s="19">
        <f>IFERROR(VLOOKUP('PRESENTATION SHEET'!C14, Table6[#All], 4, FALSE), "")</f>
        <v>60</v>
      </c>
      <c r="I7" s="22">
        <f>H7*G7</f>
        <v>120</v>
      </c>
    </row>
    <row r="8" spans="2:9" ht="19.899999999999999" customHeight="1" x14ac:dyDescent="0.25">
      <c r="B8" s="40" t="s">
        <v>29</v>
      </c>
      <c r="C8" s="24"/>
      <c r="D8" s="25"/>
      <c r="E8" s="30">
        <v>50</v>
      </c>
      <c r="I8" s="69"/>
    </row>
    <row r="9" spans="2:9" ht="19.899999999999999" customHeight="1" thickBot="1" x14ac:dyDescent="0.3">
      <c r="B9" s="40" t="s">
        <v>33</v>
      </c>
      <c r="C9" s="24"/>
      <c r="D9" s="25"/>
      <c r="E9" s="30">
        <v>60</v>
      </c>
      <c r="I9" s="69"/>
    </row>
    <row r="10" spans="2:9" ht="19.899999999999999" customHeight="1" thickBot="1" x14ac:dyDescent="0.3">
      <c r="B10" s="38" t="s">
        <v>23</v>
      </c>
      <c r="C10" s="23" t="s">
        <v>5</v>
      </c>
      <c r="D10" s="23" t="s">
        <v>6</v>
      </c>
      <c r="E10" s="39" t="s">
        <v>4</v>
      </c>
      <c r="G10" s="16">
        <f>'PRESENTATION SHEET'!G15</f>
        <v>1</v>
      </c>
      <c r="H10" s="17">
        <f>IFERROR(VLOOKUP('PRESENTATION SHEET'!C15, Table5[#All], 4, FALSE), "")</f>
        <v>70</v>
      </c>
      <c r="I10" s="22">
        <f>G10*H10</f>
        <v>70</v>
      </c>
    </row>
    <row r="11" spans="2:9" ht="19.899999999999999" customHeight="1" x14ac:dyDescent="0.25">
      <c r="B11" s="40" t="s">
        <v>32</v>
      </c>
      <c r="C11" s="24"/>
      <c r="D11" s="25"/>
      <c r="E11" s="30">
        <v>70</v>
      </c>
      <c r="I11" s="69"/>
    </row>
    <row r="12" spans="2:9" ht="19.899999999999999" customHeight="1" thickBot="1" x14ac:dyDescent="0.3">
      <c r="B12" s="40" t="s">
        <v>22</v>
      </c>
      <c r="C12" s="24"/>
      <c r="D12" s="25"/>
      <c r="E12" s="30">
        <v>80</v>
      </c>
      <c r="I12" s="69"/>
    </row>
    <row r="13" spans="2:9" ht="19.899999999999999" customHeight="1" thickBot="1" x14ac:dyDescent="0.3">
      <c r="B13" s="41" t="s">
        <v>21</v>
      </c>
      <c r="C13" s="23" t="s">
        <v>5</v>
      </c>
      <c r="D13" s="23" t="s">
        <v>6</v>
      </c>
      <c r="E13" s="39" t="s">
        <v>4</v>
      </c>
      <c r="G13" s="16">
        <f>'PRESENTATION SHEET'!G16</f>
        <v>5</v>
      </c>
      <c r="H13" s="17">
        <f>IFERROR(VLOOKUP('PRESENTATION SHEET'!C16, Table7[#All], 4, FALSE), "")</f>
        <v>250</v>
      </c>
      <c r="I13" s="22">
        <f>G13*H13</f>
        <v>1250</v>
      </c>
    </row>
    <row r="14" spans="2:9" ht="19.899999999999999" customHeight="1" x14ac:dyDescent="0.25">
      <c r="B14" s="42" t="s">
        <v>30</v>
      </c>
      <c r="C14" s="26"/>
      <c r="D14" s="27"/>
      <c r="E14" s="43">
        <v>250</v>
      </c>
    </row>
    <row r="15" spans="2:9" ht="19.899999999999999" customHeight="1" x14ac:dyDescent="0.25">
      <c r="B15" s="40" t="s">
        <v>31</v>
      </c>
      <c r="C15" s="24"/>
      <c r="D15" s="25"/>
      <c r="E15" s="30">
        <v>300</v>
      </c>
    </row>
    <row r="16" spans="2:9" ht="19.899999999999999" customHeight="1" x14ac:dyDescent="0.25">
      <c r="B16" s="42" t="s">
        <v>20</v>
      </c>
      <c r="C16" s="26"/>
      <c r="D16" s="27">
        <f>'PRESENTATION SHEET'!G17</f>
        <v>1</v>
      </c>
      <c r="E16" s="43">
        <v>69</v>
      </c>
      <c r="G16" s="15">
        <f>'PRESENTATION SHEET'!G17</f>
        <v>1</v>
      </c>
      <c r="H16" s="15">
        <f>IF('PRESENTATION SHEET'!D17="YES", E16, 0)</f>
        <v>0</v>
      </c>
      <c r="I16" s="63">
        <f>H16*G16</f>
        <v>0</v>
      </c>
    </row>
    <row r="17" spans="1:9" ht="19.899999999999999" customHeight="1" thickBot="1" x14ac:dyDescent="0.3">
      <c r="B17" s="40" t="s">
        <v>19</v>
      </c>
      <c r="C17" s="24"/>
      <c r="D17" s="8">
        <f>'PRESENTATION SHEET'!G18</f>
        <v>1</v>
      </c>
      <c r="E17" s="30">
        <v>250</v>
      </c>
      <c r="G17" s="18">
        <f>'PRESENTATION SHEET'!G18</f>
        <v>1</v>
      </c>
      <c r="H17" s="18">
        <f>IF('PRESENTATION SHEET'!D18="YES", E17, 0)</f>
        <v>250</v>
      </c>
      <c r="I17" s="64">
        <f>H17*G17</f>
        <v>250</v>
      </c>
    </row>
    <row r="18" spans="1:9" ht="19.899999999999999" customHeight="1" thickBot="1" x14ac:dyDescent="0.3">
      <c r="B18" s="44" t="s">
        <v>2</v>
      </c>
      <c r="C18" s="21" t="s">
        <v>5</v>
      </c>
      <c r="D18" s="21" t="s">
        <v>6</v>
      </c>
      <c r="E18" s="35" t="s">
        <v>4</v>
      </c>
      <c r="G18" s="16">
        <f>'PRESENTATION SHEET'!G21</f>
        <v>0</v>
      </c>
      <c r="H18" s="17">
        <f>IFERROR(VLOOKUP('PRESENTATION SHEET'!B21, Table1[#All], 4, FALSE), "")</f>
        <v>500</v>
      </c>
      <c r="I18" s="22">
        <f>G18*H18</f>
        <v>0</v>
      </c>
    </row>
    <row r="19" spans="1:9" ht="19.899999999999999" customHeight="1" x14ac:dyDescent="0.25">
      <c r="B19" s="40" t="s">
        <v>12</v>
      </c>
      <c r="C19" s="8"/>
      <c r="D19" s="8"/>
      <c r="E19" s="30">
        <v>500</v>
      </c>
    </row>
    <row r="20" spans="1:9" ht="19.899999999999999" customHeight="1" x14ac:dyDescent="0.25">
      <c r="B20" s="40" t="s">
        <v>8</v>
      </c>
      <c r="C20" s="8"/>
      <c r="D20" s="8"/>
      <c r="E20" s="30">
        <v>300</v>
      </c>
    </row>
    <row r="21" spans="1:9" ht="19.899999999999999" customHeight="1" x14ac:dyDescent="0.25">
      <c r="A21" s="3"/>
      <c r="B21" s="40" t="s">
        <v>9</v>
      </c>
      <c r="C21" s="8"/>
      <c r="D21" s="8"/>
      <c r="E21" s="30">
        <v>400</v>
      </c>
    </row>
    <row r="22" spans="1:9" ht="19.899999999999999" customHeight="1" x14ac:dyDescent="0.25">
      <c r="B22" s="40" t="s">
        <v>10</v>
      </c>
      <c r="C22" s="8"/>
      <c r="D22" s="25"/>
      <c r="E22" s="30">
        <v>420</v>
      </c>
    </row>
    <row r="23" spans="1:9" ht="19.899999999999999" customHeight="1" x14ac:dyDescent="0.25">
      <c r="B23" s="40" t="s">
        <v>13</v>
      </c>
      <c r="C23" s="8"/>
      <c r="D23" s="25"/>
      <c r="E23" s="30">
        <v>700</v>
      </c>
    </row>
    <row r="24" spans="1:9" ht="19.899999999999999" customHeight="1" x14ac:dyDescent="0.25">
      <c r="B24" s="40" t="s">
        <v>14</v>
      </c>
      <c r="C24" s="8"/>
      <c r="D24" s="8"/>
      <c r="E24" s="30">
        <v>1300</v>
      </c>
    </row>
    <row r="25" spans="1:9" ht="19.899999999999999" customHeight="1" x14ac:dyDescent="0.25">
      <c r="B25" s="12" t="s">
        <v>1</v>
      </c>
      <c r="C25" s="24"/>
      <c r="D25" s="8"/>
      <c r="E25" s="45">
        <v>150</v>
      </c>
    </row>
    <row r="26" spans="1:9" ht="19.899999999999999" customHeight="1" thickBot="1" x14ac:dyDescent="0.3">
      <c r="B26" s="40" t="s">
        <v>11</v>
      </c>
      <c r="C26" s="8"/>
      <c r="D26" s="8"/>
      <c r="E26" s="30">
        <v>100</v>
      </c>
    </row>
    <row r="27" spans="1:9" ht="19.899999999999999" customHeight="1" thickBot="1" x14ac:dyDescent="0.3">
      <c r="B27" s="46" t="s">
        <v>18</v>
      </c>
      <c r="C27" s="21" t="s">
        <v>5</v>
      </c>
      <c r="D27" s="21" t="s">
        <v>6</v>
      </c>
      <c r="E27" s="35" t="s">
        <v>4</v>
      </c>
      <c r="G27" s="16">
        <f>'PRESENTATION SHEET'!G24</f>
        <v>0</v>
      </c>
      <c r="H27" s="17">
        <f>IFERROR(VLOOKUP('PRESENTATION SHEET'!B24, Table2[#All], 4, FALSE), "")</f>
        <v>500</v>
      </c>
      <c r="I27" s="22">
        <f>G27*H27</f>
        <v>0</v>
      </c>
    </row>
    <row r="28" spans="1:9" ht="19.899999999999999" customHeight="1" x14ac:dyDescent="0.25">
      <c r="B28" s="40" t="s">
        <v>12</v>
      </c>
      <c r="C28" s="8"/>
      <c r="D28" s="8"/>
      <c r="E28" s="30">
        <v>500</v>
      </c>
    </row>
    <row r="29" spans="1:9" ht="19.899999999999999" customHeight="1" x14ac:dyDescent="0.25">
      <c r="B29" s="40" t="s">
        <v>8</v>
      </c>
      <c r="C29" s="8"/>
      <c r="D29" s="8"/>
      <c r="E29" s="30">
        <v>300</v>
      </c>
    </row>
    <row r="30" spans="1:9" ht="19.899999999999999" customHeight="1" x14ac:dyDescent="0.25">
      <c r="B30" s="40" t="s">
        <v>9</v>
      </c>
      <c r="C30" s="8"/>
      <c r="D30" s="8"/>
      <c r="E30" s="30">
        <v>400</v>
      </c>
    </row>
    <row r="31" spans="1:9" ht="19.899999999999999" customHeight="1" x14ac:dyDescent="0.25">
      <c r="B31" s="40" t="s">
        <v>10</v>
      </c>
      <c r="C31" s="8"/>
      <c r="D31" s="25"/>
      <c r="E31" s="30">
        <v>420</v>
      </c>
    </row>
    <row r="32" spans="1:9" ht="19.899999999999999" customHeight="1" x14ac:dyDescent="0.25">
      <c r="B32" s="40" t="s">
        <v>13</v>
      </c>
      <c r="C32" s="8"/>
      <c r="D32" s="25"/>
      <c r="E32" s="30">
        <v>700</v>
      </c>
    </row>
    <row r="33" spans="2:9" ht="19.899999999999999" customHeight="1" x14ac:dyDescent="0.25">
      <c r="B33" s="40" t="s">
        <v>14</v>
      </c>
      <c r="C33" s="8"/>
      <c r="D33" s="8"/>
      <c r="E33" s="30">
        <v>950</v>
      </c>
    </row>
    <row r="34" spans="2:9" ht="19.899999999999999" customHeight="1" x14ac:dyDescent="0.25">
      <c r="B34" s="12" t="s">
        <v>1</v>
      </c>
      <c r="C34" s="24"/>
      <c r="D34" s="8"/>
      <c r="E34" s="45">
        <v>150</v>
      </c>
    </row>
    <row r="35" spans="2:9" ht="19.899999999999999" customHeight="1" thickBot="1" x14ac:dyDescent="0.3">
      <c r="B35" s="40" t="s">
        <v>11</v>
      </c>
      <c r="C35" s="8"/>
      <c r="D35" s="8"/>
      <c r="E35" s="30">
        <v>100</v>
      </c>
    </row>
    <row r="36" spans="2:9" ht="19.899999999999999" customHeight="1" thickBot="1" x14ac:dyDescent="0.3">
      <c r="B36" s="44" t="s">
        <v>3</v>
      </c>
      <c r="C36" s="21" t="s">
        <v>5</v>
      </c>
      <c r="D36" s="21" t="s">
        <v>6</v>
      </c>
      <c r="E36" s="35" t="s">
        <v>4</v>
      </c>
      <c r="G36" s="16">
        <f>'PRESENTATION SHEET'!G27</f>
        <v>0</v>
      </c>
      <c r="H36" s="17">
        <f>IFERROR(VLOOKUP('PRESENTATION SHEET'!B27, Table3[#All], 4, FALSE), "")</f>
        <v>500</v>
      </c>
      <c r="I36" s="68">
        <f>G36*H36</f>
        <v>0</v>
      </c>
    </row>
    <row r="37" spans="2:9" ht="19.899999999999999" customHeight="1" x14ac:dyDescent="0.25">
      <c r="B37" s="40" t="s">
        <v>12</v>
      </c>
      <c r="C37" s="8"/>
      <c r="D37" s="8"/>
      <c r="E37" s="30">
        <v>500</v>
      </c>
    </row>
    <row r="38" spans="2:9" ht="19.899999999999999" customHeight="1" x14ac:dyDescent="0.25">
      <c r="B38" s="40" t="s">
        <v>8</v>
      </c>
      <c r="C38" s="8"/>
      <c r="D38" s="8"/>
      <c r="E38" s="30">
        <v>300</v>
      </c>
    </row>
    <row r="39" spans="2:9" ht="19.899999999999999" customHeight="1" x14ac:dyDescent="0.25">
      <c r="B39" s="40" t="s">
        <v>9</v>
      </c>
      <c r="C39" s="8"/>
      <c r="D39" s="8"/>
      <c r="E39" s="30">
        <v>400</v>
      </c>
    </row>
    <row r="40" spans="2:9" ht="19.899999999999999" customHeight="1" x14ac:dyDescent="0.25">
      <c r="B40" s="40" t="s">
        <v>10</v>
      </c>
      <c r="C40" s="8"/>
      <c r="D40" s="25"/>
      <c r="E40" s="30">
        <v>420</v>
      </c>
    </row>
    <row r="41" spans="2:9" ht="21" customHeight="1" x14ac:dyDescent="0.25">
      <c r="B41" s="40" t="s">
        <v>13</v>
      </c>
      <c r="C41" s="8"/>
      <c r="D41" s="25"/>
      <c r="E41" s="30">
        <v>700</v>
      </c>
    </row>
    <row r="42" spans="2:9" ht="19.899999999999999" customHeight="1" x14ac:dyDescent="0.25">
      <c r="B42" s="40" t="s">
        <v>14</v>
      </c>
      <c r="C42" s="8"/>
      <c r="D42" s="8"/>
      <c r="E42" s="30">
        <v>1300</v>
      </c>
    </row>
    <row r="43" spans="2:9" ht="19.899999999999999" customHeight="1" x14ac:dyDescent="0.25">
      <c r="B43" s="12" t="s">
        <v>1</v>
      </c>
      <c r="C43" s="24"/>
      <c r="D43" s="8"/>
      <c r="E43" s="45">
        <v>150</v>
      </c>
    </row>
    <row r="44" spans="2:9" ht="19.899999999999999" customHeight="1" thickBot="1" x14ac:dyDescent="0.3">
      <c r="B44" s="47" t="s">
        <v>11</v>
      </c>
      <c r="C44" s="10"/>
      <c r="D44" s="10"/>
      <c r="E44" s="31">
        <v>100</v>
      </c>
    </row>
    <row r="45" spans="2:9" ht="19.899999999999999" customHeight="1" x14ac:dyDescent="0.25">
      <c r="B45" s="5"/>
      <c r="C45" s="5"/>
      <c r="D45" s="5"/>
      <c r="E45" s="6"/>
    </row>
    <row r="46" spans="2:9" ht="20.100000000000001" customHeight="1" thickBot="1" x14ac:dyDescent="0.3">
      <c r="B46" s="14" t="s">
        <v>25</v>
      </c>
      <c r="C46" s="5"/>
      <c r="D46" s="5"/>
      <c r="E46" s="6"/>
    </row>
    <row r="47" spans="2:9" ht="20.100000000000001" customHeight="1" x14ac:dyDescent="0.25">
      <c r="B47" s="11" t="e">
        <f>#REF!</f>
        <v>#REF!</v>
      </c>
      <c r="C47" s="9"/>
      <c r="D47" s="9">
        <f>'PRESENTATION SHEET'!N14</f>
        <v>2</v>
      </c>
      <c r="E47" s="29">
        <v>900</v>
      </c>
      <c r="I47" s="67">
        <f>D47*E47</f>
        <v>1800</v>
      </c>
    </row>
    <row r="48" spans="2:9" ht="20.100000000000001" customHeight="1" x14ac:dyDescent="0.25">
      <c r="B48" s="12" t="e">
        <f>#REF!</f>
        <v>#REF!</v>
      </c>
      <c r="C48" s="8"/>
      <c r="D48" s="8">
        <v>0</v>
      </c>
      <c r="E48" s="30">
        <v>950</v>
      </c>
      <c r="I48" s="65">
        <f>D48*E48</f>
        <v>0</v>
      </c>
    </row>
    <row r="49" spans="2:9" ht="20.100000000000001" customHeight="1" x14ac:dyDescent="0.25">
      <c r="B49" s="12" t="e">
        <f>#REF!</f>
        <v>#REF!</v>
      </c>
      <c r="C49" s="8"/>
      <c r="D49" s="8">
        <v>0</v>
      </c>
      <c r="E49" s="30">
        <v>900</v>
      </c>
      <c r="I49" s="65">
        <f>D49*E49</f>
        <v>0</v>
      </c>
    </row>
    <row r="50" spans="2:9" ht="20.100000000000001" customHeight="1" thickBot="1" x14ac:dyDescent="0.3">
      <c r="B50" s="13" t="e">
        <f>#REF!</f>
        <v>#REF!</v>
      </c>
      <c r="C50" s="10"/>
      <c r="D50" s="10">
        <f>'PRESENTATION SHEET'!N17</f>
        <v>0</v>
      </c>
      <c r="E50" s="31">
        <v>900</v>
      </c>
      <c r="I50" s="66">
        <f>D50*E50</f>
        <v>0</v>
      </c>
    </row>
    <row r="51" spans="2:9" ht="28.5" thickBot="1" x14ac:dyDescent="0.3">
      <c r="B51" s="4" t="s">
        <v>0</v>
      </c>
      <c r="C51" s="123" t="s">
        <v>17</v>
      </c>
      <c r="D51" s="124"/>
      <c r="E51" s="7">
        <f>SUM(E8:E44)</f>
        <v>12389</v>
      </c>
      <c r="I51" s="32">
        <f>SUM(I4:I50)</f>
        <v>8225.2000000000007</v>
      </c>
    </row>
    <row r="52" spans="2:9" x14ac:dyDescent="0.25">
      <c r="B52" s="117"/>
      <c r="C52" s="118"/>
      <c r="D52" s="118"/>
      <c r="E52" s="119"/>
    </row>
    <row r="53" spans="2:9" ht="15.75" thickBot="1" x14ac:dyDescent="0.3">
      <c r="B53" s="120"/>
      <c r="C53" s="121"/>
      <c r="D53" s="121"/>
      <c r="E53" s="122"/>
    </row>
    <row r="54" spans="2:9" x14ac:dyDescent="0.25">
      <c r="B54" s="1"/>
    </row>
  </sheetData>
  <dataConsolidate/>
  <mergeCells count="4">
    <mergeCell ref="B2:E2"/>
    <mergeCell ref="C3:E3"/>
    <mergeCell ref="B52:E53"/>
    <mergeCell ref="C51:D51"/>
  </mergeCells>
  <pageMargins left="0.7" right="0.7" top="0.75" bottom="0.75" header="0.3" footer="0.3"/>
  <pageSetup orientation="portrait" horizontalDpi="1200" verticalDpi="120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B64"/>
  <sheetViews>
    <sheetView tabSelected="1" zoomScale="90" zoomScaleNormal="90" zoomScaleSheetLayoutView="100" workbookViewId="0">
      <selection activeCell="N32" sqref="N32"/>
    </sheetView>
  </sheetViews>
  <sheetFormatPr defaultColWidth="0" defaultRowHeight="22.15" customHeight="1" x14ac:dyDescent="0.25"/>
  <cols>
    <col min="1" max="1" width="3.7109375" customWidth="1"/>
    <col min="2" max="2" width="12.7109375" customWidth="1"/>
    <col min="3" max="3" width="26.28515625" customWidth="1"/>
    <col min="4" max="4" width="24.140625" customWidth="1"/>
    <col min="5" max="5" width="3.7109375" customWidth="1"/>
    <col min="6" max="7" width="10.7109375" customWidth="1"/>
    <col min="8" max="8" width="3.7109375" customWidth="1"/>
    <col min="9" max="9" width="12.7109375" customWidth="1"/>
    <col min="10" max="10" width="17.7109375" customWidth="1"/>
    <col min="11" max="11" width="12.7109375" customWidth="1"/>
    <col min="12" max="12" width="3.7109375" customWidth="1"/>
    <col min="13" max="13" width="10.7109375" customWidth="1"/>
    <col min="14" max="14" width="16.140625" customWidth="1"/>
    <col min="15" max="15" width="3.7109375" customWidth="1"/>
    <col min="16" max="16382" width="9" hidden="1"/>
    <col min="16383" max="16384" width="5" hidden="1"/>
  </cols>
  <sheetData>
    <row r="1" spans="1:15" ht="15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ht="15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 ht="15" x14ac:dyDescent="0.2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</row>
    <row r="4" spans="1:15" ht="15" x14ac:dyDescent="0.25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 spans="1:15" ht="15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</row>
    <row r="6" spans="1:15" ht="21" x14ac:dyDescent="0.35">
      <c r="A6" s="70"/>
      <c r="B6" s="70"/>
      <c r="C6" s="70"/>
      <c r="D6" s="70"/>
      <c r="E6" s="70"/>
      <c r="F6" s="71"/>
      <c r="G6" s="70"/>
      <c r="H6" s="70"/>
      <c r="I6" s="70"/>
      <c r="J6" s="70"/>
      <c r="K6" s="70"/>
      <c r="L6" s="70"/>
      <c r="M6" s="70"/>
      <c r="N6" s="70"/>
      <c r="O6" s="70"/>
    </row>
    <row r="7" spans="1:15" ht="15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</row>
    <row r="8" spans="1:15" ht="15" x14ac:dyDescent="0.25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</row>
    <row r="9" spans="1:15" ht="15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</row>
    <row r="10" spans="1:15" ht="6" customHeight="1" x14ac:dyDescent="0.25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</row>
    <row r="11" spans="1:15" ht="22.15" customHeight="1" x14ac:dyDescent="0.35">
      <c r="A11" s="70"/>
      <c r="B11" s="108" t="s">
        <v>67</v>
      </c>
      <c r="C11" s="108"/>
      <c r="D11" s="109"/>
      <c r="E11" s="74"/>
      <c r="F11" s="75"/>
      <c r="G11" s="75"/>
      <c r="H11" s="74"/>
      <c r="I11" s="76"/>
      <c r="J11" s="76"/>
      <c r="K11" s="76"/>
      <c r="L11" s="76"/>
      <c r="M11" s="76"/>
      <c r="N11" s="91">
        <v>45931</v>
      </c>
      <c r="O11" s="70"/>
    </row>
    <row r="12" spans="1:15" ht="22.15" customHeight="1" x14ac:dyDescent="0.25">
      <c r="A12" s="70"/>
      <c r="B12" s="110" t="s">
        <v>35</v>
      </c>
      <c r="C12" s="111"/>
      <c r="D12" s="95" t="s">
        <v>47</v>
      </c>
      <c r="E12" s="74"/>
      <c r="F12" s="77"/>
      <c r="G12" s="75"/>
      <c r="H12" s="74"/>
      <c r="I12" s="76"/>
      <c r="J12" s="76"/>
      <c r="K12" s="76"/>
      <c r="L12" s="76"/>
      <c r="M12" s="76"/>
      <c r="N12" s="76"/>
      <c r="O12" s="70"/>
    </row>
    <row r="13" spans="1:15" ht="22.15" customHeight="1" x14ac:dyDescent="0.25">
      <c r="A13" s="70"/>
      <c r="B13" s="110" t="s">
        <v>61</v>
      </c>
      <c r="C13" s="111"/>
      <c r="D13" s="94" t="s">
        <v>37</v>
      </c>
      <c r="E13" s="74"/>
      <c r="F13" s="78" t="s">
        <v>5</v>
      </c>
      <c r="G13" s="79" t="s">
        <v>6</v>
      </c>
      <c r="H13" s="74"/>
      <c r="I13" s="104" t="s">
        <v>25</v>
      </c>
      <c r="J13" s="104"/>
      <c r="K13" s="104"/>
      <c r="L13" s="74"/>
      <c r="M13" s="80" t="s">
        <v>5</v>
      </c>
      <c r="N13" s="80" t="s">
        <v>6</v>
      </c>
      <c r="O13" s="70"/>
    </row>
    <row r="14" spans="1:15" ht="22.15" customHeight="1" x14ac:dyDescent="0.25">
      <c r="A14" s="70"/>
      <c r="B14" s="92" t="s">
        <v>24</v>
      </c>
      <c r="C14" s="92" t="s">
        <v>33</v>
      </c>
      <c r="D14" s="81"/>
      <c r="E14" s="74"/>
      <c r="F14" s="82" t="s">
        <v>27</v>
      </c>
      <c r="G14" s="89">
        <v>2</v>
      </c>
      <c r="H14" s="74"/>
      <c r="I14" s="105"/>
      <c r="J14" s="105"/>
      <c r="K14" s="105"/>
      <c r="L14" s="74"/>
      <c r="M14" s="83"/>
      <c r="N14" s="89">
        <v>2</v>
      </c>
      <c r="O14" s="70"/>
    </row>
    <row r="15" spans="1:15" ht="22.15" customHeight="1" x14ac:dyDescent="0.25">
      <c r="A15" s="70"/>
      <c r="B15" s="92" t="s">
        <v>23</v>
      </c>
      <c r="C15" s="92" t="s">
        <v>32</v>
      </c>
      <c r="D15" s="81"/>
      <c r="E15" s="74"/>
      <c r="F15" s="83"/>
      <c r="G15" s="89">
        <v>1</v>
      </c>
      <c r="H15" s="74"/>
      <c r="I15" s="105" t="s">
        <v>65</v>
      </c>
      <c r="J15" s="105"/>
      <c r="K15" s="105"/>
      <c r="L15" s="74"/>
      <c r="M15" s="83"/>
      <c r="N15" s="83"/>
      <c r="O15" s="70"/>
    </row>
    <row r="16" spans="1:15" ht="22.15" customHeight="1" x14ac:dyDescent="0.25">
      <c r="A16" s="70"/>
      <c r="B16" s="106" t="s">
        <v>21</v>
      </c>
      <c r="C16" s="92" t="s">
        <v>30</v>
      </c>
      <c r="D16" s="84"/>
      <c r="E16" s="74"/>
      <c r="F16" s="83" t="s">
        <v>28</v>
      </c>
      <c r="G16" s="89">
        <v>5</v>
      </c>
      <c r="H16" s="74"/>
      <c r="I16" s="105"/>
      <c r="J16" s="105"/>
      <c r="K16" s="105"/>
      <c r="L16" s="74"/>
      <c r="M16" s="83"/>
      <c r="N16" s="83"/>
      <c r="O16" s="70"/>
    </row>
    <row r="17" spans="1:15" ht="22.15" customHeight="1" x14ac:dyDescent="0.25">
      <c r="A17" s="70"/>
      <c r="B17" s="106"/>
      <c r="C17" s="92" t="s">
        <v>20</v>
      </c>
      <c r="D17" s="83" t="s">
        <v>34</v>
      </c>
      <c r="E17" s="74"/>
      <c r="F17" s="83"/>
      <c r="G17" s="89">
        <v>1</v>
      </c>
      <c r="H17" s="74"/>
      <c r="I17" s="105"/>
      <c r="J17" s="105"/>
      <c r="K17" s="105"/>
      <c r="L17" s="76"/>
      <c r="M17" s="85"/>
      <c r="N17" s="85"/>
      <c r="O17" s="70"/>
    </row>
    <row r="18" spans="1:15" ht="22.15" customHeight="1" x14ac:dyDescent="0.25">
      <c r="A18" s="70"/>
      <c r="B18" s="106"/>
      <c r="C18" s="92" t="s">
        <v>19</v>
      </c>
      <c r="D18" s="83" t="s">
        <v>63</v>
      </c>
      <c r="E18" s="74"/>
      <c r="F18" s="83"/>
      <c r="G18" s="89">
        <v>1</v>
      </c>
      <c r="H18" s="74"/>
      <c r="I18" s="86"/>
      <c r="J18" s="86"/>
      <c r="K18" s="86"/>
      <c r="L18" s="76"/>
      <c r="M18" s="76"/>
      <c r="N18" s="76"/>
      <c r="O18" s="70"/>
    </row>
    <row r="19" spans="1:15" ht="22.15" customHeight="1" x14ac:dyDescent="0.25">
      <c r="A19" s="70"/>
      <c r="B19" s="74"/>
      <c r="C19" s="74"/>
      <c r="D19" s="74"/>
      <c r="E19" s="74"/>
      <c r="F19" s="74"/>
      <c r="G19" s="74"/>
      <c r="H19" s="74"/>
      <c r="I19" s="102" t="s">
        <v>17</v>
      </c>
      <c r="J19" s="102"/>
      <c r="K19" s="102"/>
      <c r="L19" s="76"/>
      <c r="M19" s="100">
        <f>'CALCULATION SHEET'!I51</f>
        <v>8225.2000000000007</v>
      </c>
      <c r="N19" s="100"/>
      <c r="O19" s="70"/>
    </row>
    <row r="20" spans="1:15" ht="22.15" customHeight="1" x14ac:dyDescent="0.25">
      <c r="A20" s="70"/>
      <c r="B20" s="107" t="s">
        <v>2</v>
      </c>
      <c r="C20" s="107"/>
      <c r="D20" s="107"/>
      <c r="E20" s="93"/>
      <c r="F20" s="78"/>
      <c r="G20" s="78" t="s">
        <v>69</v>
      </c>
      <c r="H20" s="74"/>
      <c r="I20" s="103"/>
      <c r="J20" s="103"/>
      <c r="K20" s="103"/>
      <c r="L20" s="76"/>
      <c r="M20" s="101"/>
      <c r="N20" s="101"/>
      <c r="O20" s="70"/>
    </row>
    <row r="21" spans="1:15" ht="22.15" customHeight="1" x14ac:dyDescent="0.25">
      <c r="A21" s="70"/>
      <c r="B21" s="106" t="s">
        <v>12</v>
      </c>
      <c r="C21" s="106"/>
      <c r="D21" s="106"/>
      <c r="E21" s="93"/>
      <c r="F21" s="83" t="s">
        <v>68</v>
      </c>
      <c r="G21" s="96">
        <v>0</v>
      </c>
      <c r="H21" s="74"/>
      <c r="I21" s="87"/>
      <c r="J21" s="87"/>
      <c r="K21" s="87"/>
      <c r="L21" s="76"/>
      <c r="M21" s="86"/>
      <c r="N21" s="86"/>
      <c r="O21" s="70"/>
    </row>
    <row r="22" spans="1:15" ht="22.15" customHeight="1" x14ac:dyDescent="0.25">
      <c r="A22" s="70"/>
      <c r="B22" s="93"/>
      <c r="C22" s="93"/>
      <c r="D22" s="93"/>
      <c r="E22" s="93"/>
      <c r="F22" s="93"/>
      <c r="G22" s="93"/>
      <c r="H22" s="74"/>
      <c r="I22" s="88" t="s">
        <v>26</v>
      </c>
      <c r="J22" s="87"/>
      <c r="K22" s="87"/>
      <c r="L22" s="76"/>
      <c r="M22" s="86"/>
      <c r="N22" s="86"/>
      <c r="O22" s="70"/>
    </row>
    <row r="23" spans="1:15" ht="22.15" customHeight="1" x14ac:dyDescent="0.25">
      <c r="A23" s="70"/>
      <c r="B23" s="107" t="s">
        <v>18</v>
      </c>
      <c r="C23" s="107"/>
      <c r="D23" s="107"/>
      <c r="E23" s="93"/>
      <c r="F23" s="78"/>
      <c r="G23" s="78" t="s">
        <v>69</v>
      </c>
      <c r="H23" s="74"/>
      <c r="I23" s="97"/>
      <c r="J23" s="98"/>
      <c r="K23" s="98"/>
      <c r="L23" s="98"/>
      <c r="M23" s="98"/>
      <c r="N23" s="99"/>
      <c r="O23" s="70"/>
    </row>
    <row r="24" spans="1:15" ht="22.15" customHeight="1" x14ac:dyDescent="0.25">
      <c r="A24" s="70"/>
      <c r="B24" s="106" t="s">
        <v>12</v>
      </c>
      <c r="C24" s="106"/>
      <c r="D24" s="106"/>
      <c r="E24" s="93"/>
      <c r="F24" s="83" t="s">
        <v>68</v>
      </c>
      <c r="G24" s="96">
        <v>0</v>
      </c>
      <c r="H24" s="74"/>
      <c r="I24" s="97"/>
      <c r="J24" s="98"/>
      <c r="K24" s="98"/>
      <c r="L24" s="98"/>
      <c r="M24" s="98"/>
      <c r="N24" s="99"/>
      <c r="O24" s="70"/>
    </row>
    <row r="25" spans="1:15" ht="22.15" customHeight="1" x14ac:dyDescent="0.25">
      <c r="A25" s="70"/>
      <c r="B25" s="93"/>
      <c r="C25" s="93"/>
      <c r="D25" s="93"/>
      <c r="E25" s="93"/>
      <c r="F25" s="93"/>
      <c r="G25" s="93"/>
      <c r="H25" s="74"/>
      <c r="I25" s="97"/>
      <c r="J25" s="98"/>
      <c r="K25" s="98"/>
      <c r="L25" s="98"/>
      <c r="M25" s="98"/>
      <c r="N25" s="99"/>
      <c r="O25" s="70"/>
    </row>
    <row r="26" spans="1:15" ht="22.15" customHeight="1" x14ac:dyDescent="0.25">
      <c r="A26" s="70"/>
      <c r="B26" s="107" t="s">
        <v>3</v>
      </c>
      <c r="C26" s="107"/>
      <c r="D26" s="107"/>
      <c r="E26" s="93"/>
      <c r="F26" s="78"/>
      <c r="G26" s="78" t="s">
        <v>69</v>
      </c>
      <c r="H26" s="74"/>
      <c r="I26" s="97"/>
      <c r="J26" s="98"/>
      <c r="K26" s="98"/>
      <c r="L26" s="98"/>
      <c r="M26" s="98"/>
      <c r="N26" s="99"/>
      <c r="O26" s="70"/>
    </row>
    <row r="27" spans="1:15" ht="22.15" customHeight="1" x14ac:dyDescent="0.25">
      <c r="A27" s="70"/>
      <c r="B27" s="106" t="s">
        <v>12</v>
      </c>
      <c r="C27" s="106"/>
      <c r="D27" s="106"/>
      <c r="E27" s="93"/>
      <c r="F27" s="83" t="s">
        <v>68</v>
      </c>
      <c r="G27" s="96">
        <v>0</v>
      </c>
      <c r="H27" s="74"/>
      <c r="I27" s="97"/>
      <c r="J27" s="98"/>
      <c r="K27" s="98"/>
      <c r="L27" s="98"/>
      <c r="M27" s="98"/>
      <c r="N27" s="99"/>
      <c r="O27" s="70"/>
    </row>
    <row r="28" spans="1:15" ht="22.15" customHeight="1" x14ac:dyDescent="0.25">
      <c r="A28" s="70"/>
      <c r="B28" s="72"/>
      <c r="C28" s="72"/>
      <c r="D28" s="72"/>
      <c r="E28" s="70"/>
      <c r="F28" s="73"/>
      <c r="G28" s="73"/>
      <c r="H28" s="70"/>
      <c r="I28" s="70"/>
      <c r="J28" s="70"/>
      <c r="K28" s="70"/>
      <c r="L28" s="70"/>
      <c r="M28" s="70"/>
      <c r="N28" s="70"/>
      <c r="O28" s="70"/>
    </row>
    <row r="33" customFormat="1" ht="22.15" customHeight="1" x14ac:dyDescent="0.25"/>
    <row r="34" customFormat="1" ht="22.15" customHeight="1" x14ac:dyDescent="0.25"/>
    <row r="35" customFormat="1" ht="22.15" customHeight="1" x14ac:dyDescent="0.25"/>
    <row r="36" customFormat="1" ht="22.15" customHeight="1" x14ac:dyDescent="0.25"/>
    <row r="37" customFormat="1" ht="22.15" customHeight="1" x14ac:dyDescent="0.25"/>
    <row r="38" customFormat="1" ht="22.15" customHeight="1" x14ac:dyDescent="0.25"/>
    <row r="39" customFormat="1" ht="22.15" customHeight="1" x14ac:dyDescent="0.25"/>
    <row r="40" customFormat="1" ht="22.15" customHeight="1" x14ac:dyDescent="0.25"/>
    <row r="41" customFormat="1" ht="22.15" customHeight="1" x14ac:dyDescent="0.25"/>
    <row r="42" customFormat="1" ht="22.15" customHeight="1" x14ac:dyDescent="0.25"/>
    <row r="43" customFormat="1" ht="22.15" customHeight="1" x14ac:dyDescent="0.25"/>
    <row r="44" customFormat="1" ht="22.15" customHeight="1" x14ac:dyDescent="0.25"/>
    <row r="45" customFormat="1" ht="22.15" customHeight="1" x14ac:dyDescent="0.25"/>
    <row r="46" customFormat="1" ht="22.15" customHeight="1" x14ac:dyDescent="0.25"/>
    <row r="47" customFormat="1" ht="22.15" customHeight="1" x14ac:dyDescent="0.25"/>
    <row r="48" customFormat="1" ht="22.15" customHeight="1" x14ac:dyDescent="0.25"/>
    <row r="49" customFormat="1" ht="22.15" customHeight="1" x14ac:dyDescent="0.25"/>
    <row r="50" customFormat="1" ht="22.15" customHeight="1" x14ac:dyDescent="0.25"/>
    <row r="51" customFormat="1" ht="22.15" customHeight="1" x14ac:dyDescent="0.25"/>
    <row r="52" customFormat="1" ht="22.15" customHeight="1" x14ac:dyDescent="0.25"/>
    <row r="53" customFormat="1" ht="22.15" customHeight="1" x14ac:dyDescent="0.25"/>
    <row r="54" customFormat="1" ht="22.15" customHeight="1" x14ac:dyDescent="0.25"/>
    <row r="55" customFormat="1" ht="22.15" customHeight="1" x14ac:dyDescent="0.25"/>
    <row r="56" customFormat="1" ht="22.15" customHeight="1" x14ac:dyDescent="0.25"/>
    <row r="57" customFormat="1" ht="22.15" customHeight="1" x14ac:dyDescent="0.25"/>
    <row r="58" customFormat="1" ht="22.15" customHeight="1" x14ac:dyDescent="0.25"/>
    <row r="59" customFormat="1" ht="22.15" customHeight="1" x14ac:dyDescent="0.25"/>
    <row r="60" customFormat="1" ht="22.15" customHeight="1" x14ac:dyDescent="0.25"/>
    <row r="61" customFormat="1" ht="22.15" customHeight="1" x14ac:dyDescent="0.25"/>
    <row r="62" customFormat="1" ht="22.15" customHeight="1" x14ac:dyDescent="0.25"/>
    <row r="63" customFormat="1" ht="22.15" customHeight="1" x14ac:dyDescent="0.25"/>
    <row r="64" customFormat="1" ht="22.15" customHeight="1" x14ac:dyDescent="0.25"/>
  </sheetData>
  <mergeCells count="22">
    <mergeCell ref="B11:D11"/>
    <mergeCell ref="B12:C12"/>
    <mergeCell ref="B13:C13"/>
    <mergeCell ref="B16:B18"/>
    <mergeCell ref="B20:D20"/>
    <mergeCell ref="B21:D21"/>
    <mergeCell ref="B23:D23"/>
    <mergeCell ref="B24:D24"/>
    <mergeCell ref="B26:D26"/>
    <mergeCell ref="B27:D27"/>
    <mergeCell ref="M19:N20"/>
    <mergeCell ref="I19:K20"/>
    <mergeCell ref="I13:K13"/>
    <mergeCell ref="I14:K14"/>
    <mergeCell ref="I15:K15"/>
    <mergeCell ref="I16:K16"/>
    <mergeCell ref="I17:K17"/>
    <mergeCell ref="I23:N23"/>
    <mergeCell ref="I24:N24"/>
    <mergeCell ref="I25:N25"/>
    <mergeCell ref="I26:N26"/>
    <mergeCell ref="I27:N27"/>
  </mergeCells>
  <dataValidations count="4">
    <dataValidation type="list" allowBlank="1" showInputMessage="1" showErrorMessage="1" sqref="D17:D18" xr:uid="{00000000-0002-0000-0300-000000000000}">
      <formula1>"YES, NO"</formula1>
    </dataValidation>
    <dataValidation type="list" allowBlank="1" showInputMessage="1" showErrorMessage="1" sqref="C14" xr:uid="{00000000-0002-0000-0300-000001000000}">
      <formula1>"GLASS, POLYCARBONATE"</formula1>
    </dataValidation>
    <dataValidation type="list" allowBlank="1" showInputMessage="1" showErrorMessage="1" sqref="C15" xr:uid="{00000000-0002-0000-0300-000002000000}">
      <formula1>" ROUND, CLASSIC"</formula1>
    </dataValidation>
    <dataValidation type="list" allowBlank="1" showInputMessage="1" showErrorMessage="1" sqref="C16" xr:uid="{00000000-0002-0000-0300-000003000000}">
      <formula1>"SQUARE,ROUNDED 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4000000}">
          <x14:formula1>
            <xm:f>VerandaPriceMatrix!$B$1:$F$1</xm:f>
          </x14:formula1>
          <xm:sqref>D13</xm:sqref>
        </x14:dataValidation>
        <x14:dataValidation type="list" allowBlank="1" showInputMessage="1" showErrorMessage="1" xr:uid="{00000000-0002-0000-0300-000005000000}">
          <x14:formula1>
            <xm:f>VerandaPriceMatrix!$A$2:$A$21</xm:f>
          </x14:formula1>
          <xm:sqref>D12</xm:sqref>
        </x14:dataValidation>
        <x14:dataValidation type="list" allowBlank="1" showInputMessage="1" showErrorMessage="1" xr:uid="{00000000-0002-0000-0300-000006000000}">
          <x14:formula1>
            <xm:f>'CALCULATION SHEET'!$B$37:$B$44</xm:f>
          </x14:formula1>
          <xm:sqref>B27:D27</xm:sqref>
        </x14:dataValidation>
        <x14:dataValidation type="list" allowBlank="1" showInputMessage="1" showErrorMessage="1" xr:uid="{00000000-0002-0000-0300-000007000000}">
          <x14:formula1>
            <xm:f>'CALCULATION SHEET'!$B$28:$B$35</xm:f>
          </x14:formula1>
          <xm:sqref>B24:D24</xm:sqref>
        </x14:dataValidation>
        <x14:dataValidation type="list" allowBlank="1" showInputMessage="1" showErrorMessage="1" xr:uid="{00000000-0002-0000-0300-000008000000}">
          <x14:formula1>
            <xm:f>'CALCULATION SHEET'!$B$19:$B$26</xm:f>
          </x14:formula1>
          <xm:sqref>B21:D21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74A5E9-6DB9-400F-9D70-17D8031EE2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VerandaPriceMatrix</vt:lpstr>
      <vt:lpstr>CALCULATION SHEET</vt:lpstr>
      <vt:lpstr>PRESENTATION SHEET</vt:lpstr>
      <vt:lpstr>'PRESENTATION SHEET'!Print_Area</vt:lpstr>
      <vt:lpstr>VerandaPriceMatrix!Print_Area</vt:lpstr>
      <vt:lpstr>'PRESENTATION SHEET'!VerandaPriceMatrix</vt:lpstr>
      <vt:lpstr>VerandaPriceMatrix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George</dc:creator>
  <cp:lastModifiedBy>Stephen George</cp:lastModifiedBy>
  <dcterms:created xsi:type="dcterms:W3CDTF">2025-01-12T12:49:10Z</dcterms:created>
  <dcterms:modified xsi:type="dcterms:W3CDTF">2026-07-02T08:29:00Z</dcterms:modified>
</cp:coreProperties>
</file>